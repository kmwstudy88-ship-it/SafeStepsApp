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5d06eabb7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1a7a79a129849b3"/>
    <x:sheet xmlns:r="http://schemas.openxmlformats.org/officeDocument/2006/relationships" name="Master Tracker" sheetId="2" r:id="R0521b0d625804684"/>
    <x:sheet xmlns:r="http://schemas.openxmlformats.org/officeDocument/2006/relationships" name="Open PRs" sheetId="3" r:id="R44210b44cbc644a7"/>
    <x:sheet xmlns:r="http://schemas.openxmlformats.org/officeDocument/2006/relationships" name="Build Order" sheetId="4" r:id="R855346720b1c4a11"/>
    <x:sheet xmlns:r="http://schemas.openxmlformats.org/officeDocument/2006/relationships" name="Legend" sheetId="5" r:id="Rdecf0d55edd4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34E4A"/>
      <x:name val="Carlito"/>
    </x:font>
    <x:font>
      <x:sz val="10"/>
      <x:color rgb="FF7C5A00"/>
      <x:name val="Carlito"/>
    </x:font>
    <x:font>
      <x:b/>
      <x:sz val="11"/>
      <x:color rgb="FFFFFFFF"/>
      <x:name val="Carlito"/>
    </x:font>
    <x:font>
      <x:b/>
      <x:sz val="16"/>
      <x:name val="Carlito"/>
    </x:font>
    <x:font>
      <x:b/>
      <x:sz val="13"/>
      <x:color rgb="FF115E59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FF4EF"/>
      </x:patternFill>
    </x:fill>
    <x:fill>
      <x:patternFill patternType="solid">
        <x:fgColor rgb="FFFFF6D8"/>
      </x:patternFill>
    </x:fill>
    <x:fill>
      <x:patternFill patternType="solid">
        <x:fgColor rgb="FF134E4A"/>
      </x:patternFill>
    </x:fill>
    <x:fill>
      <x:patternFill patternType="solid">
        <x:fgColor rgb="FFF8FAFC"/>
      </x:patternFill>
    </x:fill>
    <x:fill>
      <x:patternFill patternType="solid">
        <x:fgColor rgb="FFF0FDFA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0" fontId="5" fillId="6" borderId="0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fc40aa629441c" /><Relationship Type="http://schemas.openxmlformats.org/officeDocument/2006/relationships/theme" Target="/xl/theme/theme1.xml" Id="R1e36c357e0084f47" /><Relationship Type="http://schemas.openxmlformats.org/officeDocument/2006/relationships/sharedStrings" Target="/xl/sharedStrings.xml" Id="R9c9d627ae93f4ccd" /><Relationship Type="http://schemas.openxmlformats.org/officeDocument/2006/relationships/worksheet" Target="/xl/worksheets/sheet1.xml" Id="Re1a7a79a129849b3" /><Relationship Type="http://schemas.openxmlformats.org/officeDocument/2006/relationships/worksheet" Target="/xl/worksheets/sheet2.xml" Id="R0521b0d625804684" /><Relationship Type="http://schemas.openxmlformats.org/officeDocument/2006/relationships/worksheet" Target="/xl/worksheets/sheet3.xml" Id="R44210b44cbc644a7" /><Relationship Type="http://schemas.openxmlformats.org/officeDocument/2006/relationships/worksheet" Target="/xl/worksheets/sheet4.xml" Id="R855346720b1c4a11" /><Relationship Type="http://schemas.openxmlformats.org/officeDocument/2006/relationships/worksheet" Target="/xl/worksheets/sheet5.xml" Id="Rdecf0d55edd44d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ee79339f5845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Readiness by System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Readiness</c:v>
          </c:tx>
          <c:cat>
            <c:strRef>
              <c:f>='Dashboard'!$A$14:$A$27</c:f>
              <c:strCache>
                <c:ptCount val="0"/>
              </c:strCache>
            </c:strRef>
          </c:cat>
          <c:val>
            <c:numRef>
              <c:f>='Dashboard'!$C$14:$C$27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ee79339f5845f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feStepsTracker" displayName="SafeStepsTracker" ref="A5:Q130" headerRowCount="1">
  <x:tableColumns count="17">
    <x:tableColumn id="1" name="ID"/>
    <x:tableColumn id="2" name="Domain"/>
    <x:tableColumn id="3" name="Feature / Workflow"/>
    <x:tableColumn id="4" name="Designed"/>
    <x:tableColumn id="5" name="Code Exists"/>
    <x:tableColumn id="6" name="Database"/>
    <x:tableColumn id="7" name="UI"/>
    <x:tableColumn id="8" name="Connected E2E"/>
    <x:tableColumn id="9" name="Tested"/>
    <x:tableColumn id="10" name="Production Ready"/>
    <x:tableColumn id="11" name="Branch / Location"/>
    <x:tableColumn id="12" name="Current State"/>
    <x:tableColumn id="13" name="Priority"/>
    <x:tableColumn id="14" name="Readiness %"/>
    <x:tableColumn id="15" name="Next Action"/>
    <x:tableColumn id="16" name="Evidence / Notes"/>
    <x:tableColumn id="17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OpenPRTable" displayName="OpenPRTable" ref="A3:H9" headerRowCount="1">
  <x:tableColumns count="8">
    <x:tableColumn id="1" name="PR"/>
    <x:tableColumn id="2" name="Title"/>
    <x:tableColumn id="3" name="Branch"/>
    <x:tableColumn id="4" name="State"/>
    <x:tableColumn id="5" name="Main Impact"/>
    <x:tableColumn id="6" name="Current Risk"/>
    <x:tableColumn id="7" name="Required Next Action"/>
    <x:tableColumn id="8" name="URL"/>
  </x:tableColumns>
  <x:tableStyleInfo name="TableStyleMedium2" showRowStripes="1"/>
</x:table>
</file>

<file path=xl/tables/table3.xml><?xml version="1.0" encoding="utf-8"?>
<x:table xmlns:x="http://schemas.openxmlformats.org/spreadsheetml/2006/main" id="3" name="BuildOrderTable" displayName="BuildOrderTable" ref="A3:G13" headerRowCount="1">
  <x:tableColumns count="7">
    <x:tableColumn id="1" name="Stage"/>
    <x:tableColumn id="2" name="Goal"/>
    <x:tableColumn id="3" name="What to do"/>
    <x:tableColumn id="4" name="Exit / Done Condition"/>
    <x:tableColumn id="5" name="Priority"/>
    <x:tableColumn id="6" name="Depends On"/>
    <x:tableColumn id="7" name="Why it matte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ecf38ad3f54f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d2c1682d0544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0ceb18be2343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d13cbc28e24d73" /></Relationships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2" hidden="0" customWidth="1"/>
    <x:col min="3" max="3" width="18" hidden="0" customWidth="1"/>
    <x:col min="4" max="4" width="12" hidden="0" customWidth="1"/>
    <x:col min="6" max="6" width="5" hidden="0" customWidth="1"/>
    <x:col min="7" max="7" width="65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7" t="str">
        <x:v>SAFESTEPS BUILD STATUS DASHBOARD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>
      <x:c r="A2" s="13" t="str">
        <x:v>One source of truth for what is built, integrated, tested and genuinely production-ready.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9" t="str">
        <x:v>Tracked features</x:v>
      </x:c>
      <x:c r="B4" s="29" t="str">
        <x:v>Average readiness</x:v>
      </x:c>
      <x:c r="C4" s="29" t="str">
        <x:v>Production-ready marked Complete</x:v>
      </x:c>
      <x:c r="D4" s="29" t="str">
        <x:v>P1 priorities</x:v>
      </x:c>
      <x:c r="E4" s="29" t="str">
        <x:v>Built but unmerged features</x:v>
      </x:c>
    </x:row>
    <x:row r="5">
      <x:c r="A5" s="46" t="n">
        <x:f>COUNTA('Master Tracker'!A6:A130)</x:f>
        <x:v>125</x:v>
      </x:c>
      <x:c r="B5" s="50" t="n">
        <x:f>AVERAGE('Master Tracker'!N6:N130)</x:f>
        <x:v>0.6853199999999999</x:v>
      </x:c>
      <x:c r="C5" s="46" t="n">
        <x:f>COUNTIF('Master Tracker'!J6:J130,"Complete")</x:f>
        <x:v>0</x:v>
      </x:c>
      <x:c r="D5" s="46" t="n">
        <x:f>COUNTIF('Master Tracker'!M6:M130,"P1")</x:f>
        <x:v>90</x:v>
      </x:c>
      <x:c r="E5" s="46" t="n">
        <x:f>COUNTIF('Master Tracker'!L6:L130,"Built but unmerged")</x:f>
        <x:v>13</x:v>
      </x:c>
    </x:row>
    <x:row r="7">
      <x:c r="A7" s="53" t="str">
        <x:v>Current assessment</x:v>
      </x:c>
      <x:c r="B7" s="53"/>
      <x:c r="C7" s="53"/>
      <x:c r="D7" s="53"/>
      <x:c r="E7" s="53"/>
    </x:row>
    <x:row r="8" ht="28" customHeight="1">
      <x:c r="A8" s="58" t="str">
        <x:v>SafeSteps is a large functional prototype/platform under integration. The strongest areas are parent auth/onboarding, case security foundations, curriculum volume, assessment data/scoring foundations, and evidence engines. The main release risk is not missing ideas—it is unmerged branches, migration verification, role/tenant end-to-end isolation, device QA, reviewer governance, and proving one complete family journey.</x:v>
      </x:c>
      <x:c r="B8" s="58"/>
      <x:c r="C8" s="58"/>
      <x:c r="D8" s="58"/>
      <x:c r="E8" s="58"/>
    </x:row>
    <x:row r="9" ht="28" customHeight="1">
      <x:c r="A9" s="58"/>
      <x:c r="B9" s="58"/>
      <x:c r="C9" s="58"/>
      <x:c r="D9" s="58"/>
      <x:c r="E9" s="58"/>
    </x:row>
    <x:row r="10" ht="28" customHeight="1">
      <x:c r="A10" s="58"/>
      <x:c r="B10" s="58"/>
      <x:c r="C10" s="58"/>
      <x:c r="D10" s="58"/>
      <x:c r="E10" s="58"/>
    </x:row>
    <x:row r="13">
      <x:c r="A13" s="27" t="str">
        <x:v>Domain</x:v>
      </x:c>
      <x:c r="B13" s="27" t="str">
        <x:v>Features</x:v>
      </x:c>
      <x:c r="C13" s="27" t="str">
        <x:v>Average Readiness</x:v>
      </x:c>
      <x:c r="D13" s="27" t="str">
        <x:v>P1 Items</x:v>
      </x:c>
    </x:row>
    <x:row r="14">
      <x:c r="A14" s="62" t="str">
        <x:v>Access &amp; Onboarding</x:v>
      </x:c>
      <x:c r="B14" s="62" t="n">
        <x:f>COUNTIF('Master Tracker'!B6:B130,A14)</x:f>
        <x:v>12</x:v>
      </x:c>
      <x:c r="C14" s="63" t="n">
        <x:f>AVERAGEIF('Master Tracker'!B6:B130,A14,'Master Tracker'!N6:N130)</x:f>
        <x:v>0.8051587301587303</x:v>
      </x:c>
      <x:c r="D14" s="62" t="n">
        <x:f>COUNTIFS('Master Tracker'!B6:B130,A14,'Master Tracker'!M6:M130,"P1")</x:f>
        <x:v>10</x:v>
      </x:c>
    </x:row>
    <x:row r="15">
      <x:c r="A15" s="62" t="str">
        <x:v>Family &amp; Case Management</x:v>
      </x:c>
      <x:c r="B15" s="62" t="n">
        <x:f>COUNTIF('Master Tracker'!B6:B130,A15)</x:f>
        <x:v>14</x:v>
      </x:c>
      <x:c r="C15" s="63" t="n">
        <x:f>AVERAGEIF('Master Tracker'!B6:B130,A15,'Master Tracker'!N6:N130)</x:f>
        <x:v>0.7525510204081635</x:v>
      </x:c>
      <x:c r="D15" s="62" t="n">
        <x:f>COUNTIFS('Master Tracker'!B6:B130,A15,'Master Tracker'!M6:M130,"P1")</x:f>
        <x:v>10</x:v>
      </x:c>
    </x:row>
    <x:row r="16">
      <x:c r="A16" s="62" t="str">
        <x:v>Programs</x:v>
      </x:c>
      <x:c r="B16" s="62" t="n">
        <x:f>COUNTIF('Master Tracker'!B6:B130,A16)</x:f>
        <x:v>8</x:v>
      </x:c>
      <x:c r="C16" s="63" t="n">
        <x:f>AVERAGEIF('Master Tracker'!B6:B130,A16,'Master Tracker'!N6:N130)</x:f>
        <x:v>0.8080357142857143</x:v>
      </x:c>
      <x:c r="D16" s="62" t="n">
        <x:f>COUNTIFS('Master Tracker'!B6:B130,A16,'Master Tracker'!M6:M130,"P1")</x:f>
        <x:v>6</x:v>
      </x:c>
    </x:row>
    <x:row r="17">
      <x:c r="A17" s="62" t="str">
        <x:v>Curriculum &amp; Learning</x:v>
      </x:c>
      <x:c r="B17" s="62" t="n">
        <x:f>COUNTIF('Master Tracker'!B6:B130,A17)</x:f>
        <x:v>10</x:v>
      </x:c>
      <x:c r="C17" s="63" t="n">
        <x:f>AVERAGEIF('Master Tracker'!B6:B130,A17,'Master Tracker'!N6:N130)</x:f>
        <x:v>0.5548809523809524</x:v>
      </x:c>
      <x:c r="D17" s="62" t="n">
        <x:f>COUNTIFS('Master Tracker'!B6:B130,A17,'Master Tracker'!M6:M130,"P1")</x:f>
        <x:v>6</x:v>
      </x:c>
    </x:row>
    <x:row r="18">
      <x:c r="A18" s="62" t="str">
        <x:v>Challenges, Tasks &amp; Games</x:v>
      </x:c>
      <x:c r="B18" s="62" t="n">
        <x:f>COUNTIF('Master Tracker'!B6:B130,A18)</x:f>
        <x:v>6</x:v>
      </x:c>
      <x:c r="C18" s="63" t="n">
        <x:f>AVERAGEIF('Master Tracker'!B6:B130,A18,'Master Tracker'!N6:N130)</x:f>
        <x:v>0.7450396825396824</x:v>
      </x:c>
      <x:c r="D18" s="62" t="n">
        <x:f>COUNTIFS('Master Tracker'!B6:B130,A18,'Master Tracker'!M6:M130,"P1")</x:f>
        <x:v>0</x:v>
      </x:c>
    </x:row>
    <x:row r="19">
      <x:c r="A19" s="62" t="str">
        <x:v>Assessments</x:v>
      </x:c>
      <x:c r="B19" s="62" t="n">
        <x:f>COUNTIF('Master Tracker'!B6:B130,A19)</x:f>
        <x:v>16</x:v>
      </x:c>
      <x:c r="C19" s="63" t="n">
        <x:f>AVERAGEIF('Master Tracker'!B6:B130,A19,'Master Tracker'!N6:N130)</x:f>
        <x:v>0.7566964285714286</x:v>
      </x:c>
      <x:c r="D19" s="62" t="n">
        <x:f>COUNTIFS('Master Tracker'!B6:B130,A19,'Master Tracker'!M6:M130,"P1")</x:f>
        <x:v>15</x:v>
      </x:c>
    </x:row>
    <x:row r="20">
      <x:c r="A20" s="62" t="str">
        <x:v>Evidence &amp; Proof of Change</x:v>
      </x:c>
      <x:c r="B20" s="62" t="n">
        <x:f>COUNTIF('Master Tracker'!B6:B130,A20)</x:f>
        <x:v>10</x:v>
      </x:c>
      <x:c r="C20" s="63" t="n">
        <x:f>AVERAGEIF('Master Tracker'!B6:B130,A20,'Master Tracker'!N6:N130)</x:f>
        <x:v>0.6250000000000001</x:v>
      </x:c>
      <x:c r="D20" s="62" t="n">
        <x:f>COUNTIFS('Master Tracker'!B6:B130,A20,'Master Tracker'!M6:M130,"P1")</x:f>
        <x:v>8</x:v>
      </x:c>
    </x:row>
    <x:row r="21">
      <x:c r="A21" s="62" t="str">
        <x:v>Caseworker &amp; Service Operations</x:v>
      </x:c>
      <x:c r="B21" s="62" t="n">
        <x:f>COUNTIF('Master Tracker'!B6:B130,A21)</x:f>
        <x:v>7</x:v>
      </x:c>
      <x:c r="C21" s="63" t="n">
        <x:f>AVERAGEIF('Master Tracker'!B6:B130,A21,'Master Tracker'!N6:N130)</x:f>
        <x:v>0.6071428571428571</x:v>
      </x:c>
      <x:c r="D21" s="62" t="n">
        <x:f>COUNTIFS('Master Tracker'!B6:B130,A21,'Master Tracker'!M6:M130,"P1")</x:f>
        <x:v>4</x:v>
      </x:c>
    </x:row>
    <x:row r="22">
      <x:c r="A22" s="62" t="str">
        <x:v>Child &amp; Parent-Child</x:v>
      </x:c>
      <x:c r="B22" s="62" t="n">
        <x:f>COUNTIF('Master Tracker'!B6:B130,A22)</x:f>
        <x:v>9</x:v>
      </x:c>
      <x:c r="C22" s="63" t="n">
        <x:f>AVERAGEIF('Master Tracker'!B6:B130,A22,'Master Tracker'!N6:N130)</x:f>
        <x:v>0.7222222222222223</x:v>
      </x:c>
      <x:c r="D22" s="62" t="n">
        <x:f>COUNTIFS('Master Tracker'!B6:B130,A22,'Master Tracker'!M6:M130,"P1")</x:f>
        <x:v>6</x:v>
      </x:c>
      <x:c r="F22" s="27" t="str">
        <x:v>Immediate build priorities</x:v>
      </x:c>
      <x:c r="G22" s="27"/>
      <x:c r="H22" s="27"/>
      <x:c r="I22" s="27"/>
      <x:c r="J22" s="27"/>
      <x:c r="K22" s="27"/>
      <x:c r="L22" s="27"/>
    </x:row>
    <x:row r="23">
      <x:c r="A23" s="62" t="str">
        <x:v>Multi-Service / Multi-Tenant</x:v>
      </x:c>
      <x:c r="B23" s="62" t="n">
        <x:f>COUNTIF('Master Tracker'!B6:B130,A23)</x:f>
        <x:v>8</x:v>
      </x:c>
      <x:c r="C23" s="63" t="n">
        <x:f>AVERAGEIF('Master Tracker'!B6:B130,A23,'Master Tracker'!N6:N130)</x:f>
        <x:v>0.6071428571428571</x:v>
      </x:c>
      <x:c r="D23" s="62" t="n">
        <x:f>COUNTIFS('Master Tracker'!B6:B130,A23,'Master Tracker'!M6:M130,"P1")</x:f>
        <x:v>5</x:v>
      </x:c>
      <x:c r="F23" s="67" t="str">
        <x:v>1</x:v>
      </x:c>
      <x:c r="G23" s="62" t="str">
        <x:v>Merge/reconcile open PRs #19, #18, #20, #11/#13 without creating duplicate runtime paths.</x:v>
      </x:c>
    </x:row>
    <x:row r="24">
      <x:c r="A24" s="62" t="str">
        <x:v>Reporting &amp; Court Outputs</x:v>
      </x:c>
      <x:c r="B24" s="62" t="n">
        <x:f>COUNTIF('Master Tracker'!B6:B130,A24)</x:f>
        <x:v>6</x:v>
      </x:c>
      <x:c r="C24" s="63" t="n">
        <x:f>AVERAGEIF('Master Tracker'!B6:B130,A24,'Master Tracker'!N6:N130)</x:f>
        <x:v>0.5952380952380952</x:v>
      </x:c>
      <x:c r="D24" s="62" t="n">
        <x:f>COUNTIFS('Master Tracker'!B6:B130,A24,'Master Tracker'!M6:M130,"P1")</x:f>
        <x:v>6</x:v>
      </x:c>
      <x:c r="F24" s="67" t="str">
        <x:v>2</x:v>
      </x:c>
      <x:c r="G24" s="62" t="str">
        <x:v>Verify every pending Supabase migration against the linked production project.</x:v>
      </x:c>
    </x:row>
    <x:row r="25">
      <x:c r="A25" s="62" t="str">
        <x:v>Security, Privacy &amp; Governance</x:v>
      </x:c>
      <x:c r="B25" s="62" t="n">
        <x:f>COUNTIF('Master Tracker'!B6:B130,A25)</x:f>
        <x:v>7</x:v>
      </x:c>
      <x:c r="C25" s="63" t="n">
        <x:f>AVERAGEIF('Master Tracker'!B6:B130,A25,'Master Tracker'!N6:N130)</x:f>
        <x:v>0.6291836734693877</x:v>
      </x:c>
      <x:c r="D25" s="62" t="n">
        <x:f>COUNTIFS('Master Tracker'!B6:B130,A25,'Master Tracker'!M6:M130,"P1")</x:f>
        <x:v>7</x:v>
      </x:c>
      <x:c r="F25" s="67" t="str">
        <x:v>3</x:v>
      </x:c>
      <x:c r="G25" s="62" t="str">
        <x:v>Prove one family journey: account → intake → recommendation → program → lesson → evidence → worker → report.</x:v>
      </x:c>
    </x:row>
    <x:row r="26">
      <x:c r="A26" s="62" t="str">
        <x:v>Release, QA &amp; Operations</x:v>
      </x:c>
      <x:c r="B26" s="62" t="n">
        <x:f>COUNTIF('Master Tracker'!B6:B130,A26)</x:f>
        <x:v>10</x:v>
      </x:c>
      <x:c r="C26" s="63" t="n">
        <x:f>AVERAGEIF('Master Tracker'!B6:B130,A26,'Master Tracker'!N6:N130)</x:f>
        <x:v>0.611547619047619</x:v>
      </x:c>
      <x:c r="D26" s="62" t="n">
        <x:f>COUNTIFS('Master Tracker'!B6:B130,A26,'Master Tracker'!M6:M130,"P1")</x:f>
        <x:v>7</x:v>
      </x:c>
      <x:c r="F26" s="67" t="str">
        <x:v>4</x:v>
      </x:c>
      <x:c r="G26" s="62" t="str">
        <x:v>Prove tenant isolation with multiple organisations, workers and families; negative-test access.</x:v>
      </x:c>
    </x:row>
    <x:row r="27">
      <x:c r="A27" s="62" t="str">
        <x:v>Research &amp; Outcomes</x:v>
      </x:c>
      <x:c r="B27" s="62" t="n">
        <x:f>COUNTIF('Master Tracker'!B6:B130,A27)</x:f>
        <x:v>2</x:v>
      </x:c>
      <x:c r="C27" s="63" t="n">
        <x:f>AVERAGEIF('Master Tracker'!B6:B130,A27,'Master Tracker'!N6:N130)</x:f>
        <x:v>0.4642857142857143</x:v>
      </x:c>
      <x:c r="D27" s="62" t="n">
        <x:f>COUNTIFS('Master Tracker'!B6:B130,A27,'Master Tracker'!M6:M130,"P1")</x:f>
        <x:v>0</x:v>
      </x:c>
      <x:c r="F27" s="67" t="str">
        <x:v>5</x:v>
      </x:c>
      <x:c r="G27" s="62" t="str">
        <x:v>Make assessment/report reviewer approval mandatory before court-facing output.</x:v>
      </x:c>
    </x:row>
    <x:row r="28">
      <x:c r="F28" s="67" t="str">
        <x:v>6</x:v>
      </x:c>
      <x:c r="G28" s="62" t="str">
        <x:v>Complete privacy, retention, export/delete and child safeguarding workflows.</x:v>
      </x:c>
    </x:row>
    <x:row r="29">
      <x:c r="F29" s="67" t="str">
        <x:v>7</x:v>
      </x:c>
      <x:c r="G29" s="62" t="str">
        <x:v>Run Android/iOS/web production builds and real-device QA before public launch.</x:v>
      </x:c>
    </x:row>
  </x:sheetData>
  <x:mergeCells>
    <x:mergeCell ref="A1:L1"/>
    <x:mergeCell ref="A2:L2"/>
    <x:mergeCell ref="A7:E7"/>
    <x:mergeCell ref="A8:E10"/>
    <x:mergeCell ref="F22:L22"/>
  </x:mergeCells>
  <x:pageMargins left="0.7" right="0.7" top="0.75" bottom="0.75" header="0.3" footer="0.3"/>
  <x:drawing xmlns:r="http://schemas.openxmlformats.org/officeDocument/2006/relationships" r:id="R58ecf38ad3f54f0a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4" hidden="0" customWidth="1"/>
    <x:col min="10" max="10" width="17" hidden="0" customWidth="1"/>
    <x:col min="11" max="11" width="18" hidden="0" customWidth="1"/>
    <x:col min="12" max="12" width="22" hidden="0" customWidth="1"/>
    <x:col min="13" max="13" width="10" hidden="0" customWidth="1"/>
    <x:col min="14" max="14" width="12" hidden="0" customWidth="1"/>
    <x:col min="15" max="15" width="44" hidden="0" customWidth="1"/>
    <x:col min="16" max="16" width="52" hidden="0" customWidth="1"/>
    <x:col min="17" max="17" width="46" hidden="0" customWidth="1"/>
  </x:cols>
  <x:sheetData>
    <x:row r="1" ht="30" customHeight="1">
      <x:c r="A1" s="7" t="str">
        <x:v>SAFESTEPS MASTER BUILD TRACKER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</x:row>
    <x:row r="2">
      <x:c r="A2" s="14" t="str">
        <x:v>Repository audit snapshot • generated 8 Aug 2026 • 125 tracked features/workflows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3" ht="34" customHeight="1">
      <x:c r="A3" s="21" t="str">
        <x:v>Status reflects evidence visible in the GitHub repository. 'Open PR' means code exists but is not part of main. 'Production Ready' is intentionally strict.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5">
      <x:c r="A5" s="30" t="str">
        <x:v>ID</x:v>
      </x:c>
      <x:c r="B5" s="30" t="str">
        <x:v>Domain</x:v>
      </x:c>
      <x:c r="C5" s="30" t="str">
        <x:v>Feature / Workflow</x:v>
      </x:c>
      <x:c r="D5" s="30" t="str">
        <x:v>Designed</x:v>
      </x:c>
      <x:c r="E5" s="30" t="str">
        <x:v>Code Exists</x:v>
      </x:c>
      <x:c r="F5" s="30" t="str">
        <x:v>Database</x:v>
      </x:c>
      <x:c r="G5" s="30" t="str">
        <x:v>UI</x:v>
      </x:c>
      <x:c r="H5" s="30" t="str">
        <x:v>Connected E2E</x:v>
      </x:c>
      <x:c r="I5" s="30" t="str">
        <x:v>Tested</x:v>
      </x:c>
      <x:c r="J5" s="30" t="str">
        <x:v>Production Ready</x:v>
      </x:c>
      <x:c r="K5" s="30" t="str">
        <x:v>Branch / Location</x:v>
      </x:c>
      <x:c r="L5" s="30" t="str">
        <x:v>Current State</x:v>
      </x:c>
      <x:c r="M5" s="30" t="str">
        <x:v>Priority</x:v>
      </x:c>
      <x:c r="N5" s="30" t="str">
        <x:v>Readiness %</x:v>
      </x:c>
      <x:c r="O5" s="30" t="str">
        <x:v>Next Action</x:v>
      </x:c>
      <x:c r="P5" s="30" t="str">
        <x:v>Evidence / Notes</x:v>
      </x:c>
      <x:c r="Q5" s="30" t="str">
        <x:v>Source URL</x:v>
      </x:c>
    </x:row>
    <x:row r="6">
      <x:c r="A6" s="36" t="str">
        <x:v>ACC-001</x:v>
      </x:c>
      <x:c r="B6" s="40" t="str">
        <x:v>Access &amp; Onboarding</x:v>
      </x:c>
      <x:c r="C6" s="40" t="str">
        <x:v>Expo/React Native app shell &amp; Expo Router</x:v>
      </x:c>
      <x:c r="D6" s="40" t="str">
        <x:v>Complete</x:v>
      </x:c>
      <x:c r="E6" s="40" t="str">
        <x:v>Complete</x:v>
      </x:c>
      <x:c r="F6" s="40" t="str">
        <x:v>N/A</x:v>
      </x:c>
      <x:c r="G6" s="40" t="str">
        <x:v>Complete</x:v>
      </x:c>
      <x:c r="H6" s="40" t="str">
        <x:v>Complete</x:v>
      </x:c>
      <x:c r="I6" s="40" t="str">
        <x:v>Complete</x:v>
      </x:c>
      <x:c r="J6" s="40" t="str">
        <x:v>Partial</x:v>
      </x:c>
      <x:c r="K6" s="40" t="str">
        <x:v>Main</x:v>
      </x:c>
      <x:c r="L6" s="40" t="str">
        <x:v>Functional baseline</x:v>
      </x:c>
      <x:c r="M6" s="40" t="str">
        <x:v>P1</x:v>
      </x:c>
      <x:c r="N6" s="41" t="n">
        <x:f>IF((7-COUNTIF(D6:J6,"N/A"))=0,0,(COUNTIF(D6:J6,"Complete")+0.5*COUNTIF(D6:J6,"Partial")+0.4*COUNTIF(D6:J6,"Open PR")+0.25*COUNTIF(D6:J6,"Not verified"))/(7-COUNTIF(D6:J6,"N/A")))</x:f>
        <x:v>0.9166666666666666</x:v>
      </x:c>
      <x:c r="O6" s="40" t="str">
        <x:v>Run release builds on Android/iOS/web</x:v>
      </x:c>
      <x:c r="P6" s="40" t="str">
        <x:v>App shell and routes are established; public production release still not verified.</x:v>
      </x:c>
      <x:c r="Q6" s="40" t="str">
        <x:v>https://github.com/kmwstudy88-ship-it/SafeStepsApp/blob/main/docs/SAFESTEPS_FULL_SYSTEM_SUMMARY_2026-07-15.md</x:v>
      </x:c>
    </x:row>
    <x:row r="7">
      <x:c r="A7" s="36" t="str">
        <x:v>ACC-002</x:v>
      </x:c>
      <x:c r="B7" s="40" t="str">
        <x:v>Access &amp; Onboarding</x:v>
      </x:c>
      <x:c r="C7" s="40" t="str">
        <x:v>Parent email registration</x:v>
      </x:c>
      <x:c r="D7" s="40" t="str">
        <x:v>Complete</x:v>
      </x:c>
      <x:c r="E7" s="40" t="str">
        <x:v>Complete</x:v>
      </x:c>
      <x:c r="F7" s="40" t="str">
        <x:v>Complete</x:v>
      </x:c>
      <x:c r="G7" s="40" t="str">
        <x:v>Complete</x:v>
      </x:c>
      <x:c r="H7" s="40" t="str">
        <x:v>Complete</x:v>
      </x:c>
      <x:c r="I7" s="40" t="str">
        <x:v>Complete</x:v>
      </x:c>
      <x:c r="J7" s="40" t="str">
        <x:v>Partial</x:v>
      </x:c>
      <x:c r="K7" s="40" t="str">
        <x:v>Main</x:v>
      </x:c>
      <x:c r="L7" s="40" t="str">
        <x:v>Substantial</x:v>
      </x:c>
      <x:c r="M7" s="40" t="str">
        <x:v>P1</x:v>
      </x:c>
      <x:c r="N7" s="41" t="n">
        <x:f>IF((7-COUNTIF(D7:J7,"N/A"))=0,0,(COUNTIF(D7:J7,"Complete")+0.5*COUNTIF(D7:J7,"Partial")+0.4*COUNTIF(D7:J7,"Open PR")+0.25*COUNTIF(D7:J7,"Not verified"))/(7-COUNTIF(D7:J7,"N/A")))</x:f>
        <x:v>0.9285714285714286</x:v>
      </x:c>
      <x:c r="O7" s="40" t="str">
        <x:v>Device-test with real Supabase production account</x:v>
      </x:c>
      <x:c r="P7" s="40" t="str">
        <x:v>Merged parent auth flow exists.</x:v>
      </x:c>
      <x:c r="Q7" s="40" t="str">
        <x:v>https://github.com/kmwstudy88-ship-it/SafeStepsApp/blob/main/docs/SAFESTEPS_FULL_SYSTEM_SUMMARY_2026-07-15.md</x:v>
      </x:c>
    </x:row>
    <x:row r="8">
      <x:c r="A8" s="36" t="str">
        <x:v>ACC-003</x:v>
      </x:c>
      <x:c r="B8" s="40" t="str">
        <x:v>Access &amp; Onboarding</x:v>
      </x:c>
      <x:c r="C8" s="40" t="str">
        <x:v>Parent login &amp; persisted Supabase session</x:v>
      </x:c>
      <x:c r="D8" s="40" t="str">
        <x:v>Complete</x:v>
      </x:c>
      <x:c r="E8" s="40" t="str">
        <x:v>Complete</x:v>
      </x:c>
      <x:c r="F8" s="40" t="str">
        <x:v>Complete</x:v>
      </x:c>
      <x:c r="G8" s="40" t="str">
        <x:v>Complete</x:v>
      </x:c>
      <x:c r="H8" s="40" t="str">
        <x:v>Complete</x:v>
      </x:c>
      <x:c r="I8" s="40" t="str">
        <x:v>Complete</x:v>
      </x:c>
      <x:c r="J8" s="40" t="str">
        <x:v>Partial</x:v>
      </x:c>
      <x:c r="K8" s="40" t="str">
        <x:v>Main</x:v>
      </x:c>
      <x:c r="L8" s="40" t="str">
        <x:v>Substantial</x:v>
      </x:c>
      <x:c r="M8" s="40" t="str">
        <x:v>P1</x:v>
      </x:c>
      <x:c r="N8" s="41" t="n">
        <x:f>IF((7-COUNTIF(D8:J8,"N/A"))=0,0,(COUNTIF(D8:J8,"Complete")+0.5*COUNTIF(D8:J8,"Partial")+0.4*COUNTIF(D8:J8,"Open PR")+0.25*COUNTIF(D8:J8,"Not verified"))/(7-COUNTIF(D8:J8,"N/A")))</x:f>
        <x:v>0.9285714285714286</x:v>
      </x:c>
      <x:c r="O8" s="40" t="str">
        <x:v>Test session expiry/re-entry on devices</x:v>
      </x:c>
      <x:c r="P8" s="40" t="str">
        <x:v>Global auth boundary and persisted session merged.</x:v>
      </x:c>
      <x:c r="Q8" s="40" t="str">
        <x:v>https://github.com/kmwstudy88-ship-it/SafeStepsApp/blob/main/docs/SAFESTEPS_FULL_SYSTEM_SUMMARY_2026-07-15.md</x:v>
      </x:c>
    </x:row>
    <x:row r="9">
      <x:c r="A9" s="36" t="str">
        <x:v>ACC-004</x:v>
      </x:c>
      <x:c r="B9" s="40" t="str">
        <x:v>Access &amp; Onboarding</x:v>
      </x:c>
      <x:c r="C9" s="40" t="str">
        <x:v>Forgot-password / password recovery</x:v>
      </x:c>
      <x:c r="D9" s="40" t="str">
        <x:v>Complete</x:v>
      </x:c>
      <x:c r="E9" s="40" t="str">
        <x:v>Complete</x:v>
      </x:c>
      <x:c r="F9" s="40" t="str">
        <x:v>Complete</x:v>
      </x:c>
      <x:c r="G9" s="40" t="str">
        <x:v>Complete</x:v>
      </x:c>
      <x:c r="H9" s="40" t="str">
        <x:v>Complete</x:v>
      </x:c>
      <x:c r="I9" s="40" t="str">
        <x:v>Complete</x:v>
      </x:c>
      <x:c r="J9" s="40" t="str">
        <x:v>Partial</x:v>
      </x:c>
      <x:c r="K9" s="40" t="str">
        <x:v>Main</x:v>
      </x:c>
      <x:c r="L9" s="40" t="str">
        <x:v>Substantial</x:v>
      </x:c>
      <x:c r="M9" s="40" t="str">
        <x:v>P1</x:v>
      </x:c>
      <x:c r="N9" s="41" t="n">
        <x:f>IF((7-COUNTIF(D9:J9,"N/A"))=0,0,(COUNTIF(D9:J9,"Complete")+0.5*COUNTIF(D9:J9,"Partial")+0.4*COUNTIF(D9:J9,"Open PR")+0.25*COUNTIF(D9:J9,"Not verified"))/(7-COUNTIF(D9:J9,"N/A")))</x:f>
        <x:v>0.9285714285714286</x:v>
      </x:c>
      <x:c r="O9" s="40" t="str">
        <x:v>Verify production deep links and redirect allowlist</x:v>
      </x:c>
      <x:c r="P9" s="40" t="str">
        <x:v>Merged PR #15.</x:v>
      </x:c>
      <x:c r="Q9" s="40" t="str">
        <x:v>https://github.com/kmwstudy88-ship-it/SafeStepsApp/pull/15</x:v>
      </x:c>
    </x:row>
    <x:row r="10">
      <x:c r="A10" s="36" t="str">
        <x:v>ACC-005</x:v>
      </x:c>
      <x:c r="B10" s="40" t="str">
        <x:v>Access &amp; Onboarding</x:v>
      </x:c>
      <x:c r="C10" s="40" t="str">
        <x:v>Protected app routes</x:v>
      </x:c>
      <x:c r="D10" s="40" t="str">
        <x:v>Complete</x:v>
      </x:c>
      <x:c r="E10" s="40" t="str">
        <x:v>Complete</x:v>
      </x:c>
      <x:c r="F10" s="40" t="str">
        <x:v>Complete</x:v>
      </x:c>
      <x:c r="G10" s="40" t="str">
        <x:v>Complete</x:v>
      </x:c>
      <x:c r="H10" s="40" t="str">
        <x:v>Complete</x:v>
      </x:c>
      <x:c r="I10" s="40" t="str">
        <x:v>Complete</x:v>
      </x:c>
      <x:c r="J10" s="40" t="str">
        <x:v>Partial</x:v>
      </x:c>
      <x:c r="K10" s="40" t="str">
        <x:v>Main</x:v>
      </x:c>
      <x:c r="L10" s="40" t="str">
        <x:v>Substantial</x:v>
      </x:c>
      <x:c r="M10" s="40" t="str">
        <x:v>P1</x:v>
      </x:c>
      <x:c r="N10" s="41" t="n">
        <x:f>IF((7-COUNTIF(D10:J10,"N/A"))=0,0,(COUNTIF(D10:J10,"Complete")+0.5*COUNTIF(D10:J10,"Partial")+0.4*COUNTIF(D10:J10,"Open PR")+0.25*COUNTIF(D10:J10,"Not verified"))/(7-COUNTIF(D10:J10,"N/A")))</x:f>
        <x:v>0.9285714285714286</x:v>
      </x:c>
      <x:c r="O10" s="40" t="str">
        <x:v>Run full role matrix against production users</x:v>
      </x:c>
      <x:c r="P10" s="40" t="str">
        <x:v>Merged PR #14 adds central auth boundary.</x:v>
      </x:c>
      <x:c r="Q10" s="40" t="str">
        <x:v>https://github.com/kmwstudy88-ship-it/SafeStepsApp/pull/14</x:v>
      </x:c>
    </x:row>
    <x:row r="11">
      <x:c r="A11" s="36" t="str">
        <x:v>ACC-006</x:v>
      </x:c>
      <x:c r="B11" s="40" t="str">
        <x:v>Access &amp; Onboarding</x:v>
      </x:c>
      <x:c r="C11" s="40" t="str">
        <x:v>Email verification / confirmation</x:v>
      </x:c>
      <x:c r="D11" s="40" t="str">
        <x:v>Complete</x:v>
      </x:c>
      <x:c r="E11" s="40" t="str">
        <x:v>Complete</x:v>
      </x:c>
      <x:c r="F11" s="40" t="str">
        <x:v>Complete</x:v>
      </x:c>
      <x:c r="G11" s="40" t="str">
        <x:v>Complete</x:v>
      </x:c>
      <x:c r="H11" s="40" t="str">
        <x:v>Complete</x:v>
      </x:c>
      <x:c r="I11" s="40" t="str">
        <x:v>Complete</x:v>
      </x:c>
      <x:c r="J11" s="40" t="str">
        <x:v>Partial</x:v>
      </x:c>
      <x:c r="K11" s="40" t="str">
        <x:v>Main</x:v>
      </x:c>
      <x:c r="L11" s="40" t="str">
        <x:v>Substantial</x:v>
      </x:c>
      <x:c r="M11" s="40" t="str">
        <x:v>P1</x:v>
      </x:c>
      <x:c r="N11" s="41" t="n">
        <x:f>IF((7-COUNTIF(D11:J11,"N/A"))=0,0,(COUNTIF(D11:J11,"Complete")+0.5*COUNTIF(D11:J11,"Partial")+0.4*COUNTIF(D11:J11,"Open PR")+0.25*COUNTIF(D11:J11,"Not verified"))/(7-COUNTIF(D11:J11,"N/A")))</x:f>
        <x:v>0.9285714285714286</x:v>
      </x:c>
      <x:c r="O11" s="40" t="str">
        <x:v>Verify email templates and native deep links</x:v>
      </x:c>
      <x:c r="P11" s="40" t="str">
        <x:v>Merged parent onboarding supports OTP/confirmation links.</x:v>
      </x:c>
      <x:c r="Q11" s="40" t="str">
        <x:v>https://github.com/kmwstudy88-ship-it/SafeStepsApp/pull/16</x:v>
      </x:c>
    </x:row>
    <x:row r="12">
      <x:c r="A12" s="36" t="str">
        <x:v>ACC-007</x:v>
      </x:c>
      <x:c r="B12" s="40" t="str">
        <x:v>Access &amp; Onboarding</x:v>
      </x:c>
      <x:c r="C12" s="40" t="str">
        <x:v>Consent and privacy choices</x:v>
      </x:c>
      <x:c r="D12" s="40" t="str">
        <x:v>Complete</x:v>
      </x:c>
      <x:c r="E12" s="40" t="str">
        <x:v>Complete</x:v>
      </x:c>
      <x:c r="F12" s="40" t="str">
        <x:v>Complete</x:v>
      </x:c>
      <x:c r="G12" s="40" t="str">
        <x:v>Complete</x:v>
      </x:c>
      <x:c r="H12" s="40" t="str">
        <x:v>Complete</x:v>
      </x:c>
      <x:c r="I12" s="40" t="str">
        <x:v>Complete</x:v>
      </x:c>
      <x:c r="J12" s="40" t="str">
        <x:v>Partial</x:v>
      </x:c>
      <x:c r="K12" s="40" t="str">
        <x:v>Main</x:v>
      </x:c>
      <x:c r="L12" s="40" t="str">
        <x:v>Substantial</x:v>
      </x:c>
      <x:c r="M12" s="40" t="str">
        <x:v>P1</x:v>
      </x:c>
      <x:c r="N12" s="41" t="n">
        <x:f>IF((7-COUNTIF(D12:J12,"N/A"))=0,0,(COUNTIF(D12:J12,"Complete")+0.5*COUNTIF(D12:J12,"Partial")+0.4*COUNTIF(D12:J12,"Open PR")+0.25*COUNTIF(D12:J12,"Not verified"))/(7-COUNTIF(D12:J12,"N/A")))</x:f>
        <x:v>0.9285714285714286</x:v>
      </x:c>
      <x:c r="O12" s="40" t="str">
        <x:v>Complete production privacy/retention/legal review</x:v>
      </x:c>
      <x:c r="P12" s="40" t="str">
        <x:v>Immutable consent events merged.</x:v>
      </x:c>
      <x:c r="Q12" s="40" t="str">
        <x:v>https://github.com/kmwstudy88-ship-it/SafeStepsApp/pull/16</x:v>
      </x:c>
    </x:row>
    <x:row r="13">
      <x:c r="A13" s="36" t="str">
        <x:v>ACC-008</x:v>
      </x:c>
      <x:c r="B13" s="40" t="str">
        <x:v>Access &amp; Onboarding</x:v>
      </x:c>
      <x:c r="C13" s="40" t="str">
        <x:v>Device PIN / SecureStore account protection</x:v>
      </x:c>
      <x:c r="D13" s="40" t="str">
        <x:v>Complete</x:v>
      </x:c>
      <x:c r="E13" s="40" t="str">
        <x:v>Complete</x:v>
      </x:c>
      <x:c r="F13" s="40" t="str">
        <x:v>N/A</x:v>
      </x:c>
      <x:c r="G13" s="40" t="str">
        <x:v>Complete</x:v>
      </x:c>
      <x:c r="H13" s="40" t="str">
        <x:v>Complete</x:v>
      </x:c>
      <x:c r="I13" s="40" t="str">
        <x:v>Complete</x:v>
      </x:c>
      <x:c r="J13" s="40" t="str">
        <x:v>Partial</x:v>
      </x:c>
      <x:c r="K13" s="40" t="str">
        <x:v>Main</x:v>
      </x:c>
      <x:c r="L13" s="40" t="str">
        <x:v>Substantial</x:v>
      </x:c>
      <x:c r="M13" s="40" t="str">
        <x:v>P2</x:v>
      </x:c>
      <x:c r="N13" s="41" t="n">
        <x:f>IF((7-COUNTIF(D13:J13,"N/A"))=0,0,(COUNTIF(D13:J13,"Complete")+0.5*COUNTIF(D13:J13,"Partial")+0.4*COUNTIF(D13:J13,"Open PR")+0.25*COUNTIF(D13:J13,"Not verified"))/(7-COUNTIF(D13:J13,"N/A")))</x:f>
        <x:v>0.9166666666666666</x:v>
      </x:c>
      <x:c r="O13" s="40" t="str">
        <x:v>Test device reset/reinstall edge cases</x:v>
      </x:c>
      <x:c r="P13" s="40" t="str">
        <x:v>Device PIN digest kept in secure device storage.</x:v>
      </x:c>
      <x:c r="Q13" s="40" t="str">
        <x:v>https://github.com/kmwstudy88-ship-it/SafeStepsApp/pull/16</x:v>
      </x:c>
    </x:row>
    <x:row r="14">
      <x:c r="A14" s="36" t="str">
        <x:v>ACC-009</x:v>
      </x:c>
      <x:c r="B14" s="40" t="str">
        <x:v>Access &amp; Onboarding</x:v>
      </x:c>
      <x:c r="C14" s="40" t="str">
        <x:v>Accessibility preferences</x:v>
      </x:c>
      <x:c r="D14" s="40" t="str">
        <x:v>Complete</x:v>
      </x:c>
      <x:c r="E14" s="40" t="str">
        <x:v>Complete</x:v>
      </x:c>
      <x:c r="F14" s="40" t="str">
        <x:v>Complete</x:v>
      </x:c>
      <x:c r="G14" s="40" t="str">
        <x:v>Complete</x:v>
      </x:c>
      <x:c r="H14" s="40" t="str">
        <x:v>Complete</x:v>
      </x:c>
      <x:c r="I14" s="40" t="str">
        <x:v>Complete</x:v>
      </x:c>
      <x:c r="J14" s="40" t="str">
        <x:v>Partial</x:v>
      </x:c>
      <x:c r="K14" s="40" t="str">
        <x:v>Main</x:v>
      </x:c>
      <x:c r="L14" s="40" t="str">
        <x:v>Substantial</x:v>
      </x:c>
      <x:c r="M14" s="40" t="str">
        <x:v>P2</x:v>
      </x:c>
      <x:c r="N14" s="41" t="n">
        <x:f>IF((7-COUNTIF(D14:J14,"N/A"))=0,0,(COUNTIF(D14:J14,"Complete")+0.5*COUNTIF(D14:J14,"Partial")+0.4*COUNTIF(D14:J14,"Open PR")+0.25*COUNTIF(D14:J14,"Not verified"))/(7-COUNTIF(D14:J14,"N/A")))</x:f>
        <x:v>0.9285714285714286</x:v>
      </x:c>
      <x:c r="O14" s="40" t="str">
        <x:v>Run accessibility audit with screen readers/font scaling</x:v>
      </x:c>
      <x:c r="P14" s="40" t="str">
        <x:v>Preferences persist to profile.</x:v>
      </x:c>
      <x:c r="Q14" s="40" t="str">
        <x:v>https://github.com/kmwstudy88-ship-it/SafeStepsApp/pull/16</x:v>
      </x:c>
    </x:row>
    <x:row r="15">
      <x:c r="A15" s="36" t="str">
        <x:v>ACC-010</x:v>
      </x:c>
      <x:c r="B15" s="40" t="str">
        <x:v>Access &amp; Onboarding</x:v>
      </x:c>
      <x:c r="C15" s="40" t="str">
        <x:v>Child-specific login/session API</x:v>
      </x:c>
      <x:c r="D15" s="40" t="str">
        <x:v>Complete</x:v>
      </x:c>
      <x:c r="E15" s="40" t="str">
        <x:v>Open PR</x:v>
      </x:c>
      <x:c r="F15" s="40" t="str">
        <x:v>Open PR</x:v>
      </x:c>
      <x:c r="G15" s="40" t="str">
        <x:v>Partial</x:v>
      </x:c>
      <x:c r="H15" s="40" t="str">
        <x:v>Open PR</x:v>
      </x:c>
      <x:c r="I15" s="40" t="str">
        <x:v>Open PR</x:v>
      </x:c>
      <x:c r="J15" s="40" t="str">
        <x:v>Missing</x:v>
      </x:c>
      <x:c r="K15" s="40" t="str">
        <x:v>PR #19</x:v>
      </x:c>
      <x:c r="L15" s="40" t="str">
        <x:v>Built but unmerged</x:v>
      </x:c>
      <x:c r="M15" s="40" t="str">
        <x:v>P1</x:v>
      </x:c>
      <x:c r="N15" s="41" t="n">
        <x:f>IF((7-COUNTIF(D15:J15,"N/A"))=0,0,(COUNTIF(D15:J15,"Complete")+0.5*COUNTIF(D15:J15,"Partial")+0.4*COUNTIF(D15:J15,"Open PR")+0.25*COUNTIF(D15:J15,"Not verified"))/(7-COUNTIF(D15:J15,"N/A")))</x:f>
        <x:v>0.4428571428571429</x:v>
      </x:c>
      <x:c r="O15" s="40" t="str">
        <x:v>Finish/review/merge PR #19 and deploy migration</x:v>
      </x:c>
      <x:c r="P15" s="40" t="str">
        <x:v>Audience-specific child login is described in PR #19.</x:v>
      </x:c>
      <x:c r="Q15" s="40" t="str">
        <x:v>https://github.com/kmwstudy88-ship-it/SafeStepsApp/pull/19</x:v>
      </x:c>
    </x:row>
    <x:row r="16">
      <x:c r="A16" s="36" t="str">
        <x:v>ACC-011</x:v>
      </x:c>
      <x:c r="B16" s="40" t="str">
        <x:v>Access &amp; Onboarding</x:v>
      </x:c>
      <x:c r="C16" s="40" t="str">
        <x:v>Caseworker-specific login/session API</x:v>
      </x:c>
      <x:c r="D16" s="40" t="str">
        <x:v>Complete</x:v>
      </x:c>
      <x:c r="E16" s="40" t="str">
        <x:v>Open PR</x:v>
      </x:c>
      <x:c r="F16" s="40" t="str">
        <x:v>Open PR</x:v>
      </x:c>
      <x:c r="G16" s="40" t="str">
        <x:v>Partial</x:v>
      </x:c>
      <x:c r="H16" s="40" t="str">
        <x:v>Open PR</x:v>
      </x:c>
      <x:c r="I16" s="40" t="str">
        <x:v>Open PR</x:v>
      </x:c>
      <x:c r="J16" s="40" t="str">
        <x:v>Missing</x:v>
      </x:c>
      <x:c r="K16" s="40" t="str">
        <x:v>PR #19</x:v>
      </x:c>
      <x:c r="L16" s="40" t="str">
        <x:v>Built but unmerged</x:v>
      </x:c>
      <x:c r="M16" s="40" t="str">
        <x:v>P1</x:v>
      </x:c>
      <x:c r="N16" s="41" t="n">
        <x:f>IF((7-COUNTIF(D16:J16,"N/A"))=0,0,(COUNTIF(D16:J16,"Complete")+0.5*COUNTIF(D16:J16,"Partial")+0.4*COUNTIF(D16:J16,"Open PR")+0.25*COUNTIF(D16:J16,"Not verified"))/(7-COUNTIF(D16:J16,"N/A")))</x:f>
        <x:v>0.4428571428571429</x:v>
      </x:c>
      <x:c r="O16" s="40" t="str">
        <x:v>Finish/review/merge PR #19 and test real worker role</x:v>
      </x:c>
      <x:c r="P16" s="40" t="str">
        <x:v>Audience-specific caseworker login is described in PR #19.</x:v>
      </x:c>
      <x:c r="Q16" s="40" t="str">
        <x:v>https://github.com/kmwstudy88-ship-it/SafeStepsApp/pull/19</x:v>
      </x:c>
    </x:row>
    <x:row r="17">
      <x:c r="A17" s="36" t="str">
        <x:v>ACC-012</x:v>
      </x:c>
      <x:c r="B17" s="40" t="str">
        <x:v>Access &amp; Onboarding</x:v>
      </x:c>
      <x:c r="C17" s="40" t="str">
        <x:v>API session inspection/logout/revocation</x:v>
      </x:c>
      <x:c r="D17" s="40" t="str">
        <x:v>Complete</x:v>
      </x:c>
      <x:c r="E17" s="40" t="str">
        <x:v>Open PR</x:v>
      </x:c>
      <x:c r="F17" s="40" t="str">
        <x:v>Open PR</x:v>
      </x:c>
      <x:c r="G17" s="40" t="str">
        <x:v>Partial</x:v>
      </x:c>
      <x:c r="H17" s="40" t="str">
        <x:v>Open PR</x:v>
      </x:c>
      <x:c r="I17" s="40" t="str">
        <x:v>Open PR</x:v>
      </x:c>
      <x:c r="J17" s="40" t="str">
        <x:v>Missing</x:v>
      </x:c>
      <x:c r="K17" s="40" t="str">
        <x:v>PR #19</x:v>
      </x:c>
      <x:c r="L17" s="40" t="str">
        <x:v>Built but unmerged</x:v>
      </x:c>
      <x:c r="M17" s="40" t="str">
        <x:v>P1</x:v>
      </x:c>
      <x:c r="N17" s="41" t="n">
        <x:f>IF((7-COUNTIF(D17:J17,"N/A"))=0,0,(COUNTIF(D17:J17,"Complete")+0.5*COUNTIF(D17:J17,"Partial")+0.4*COUNTIF(D17:J17,"Open PR")+0.25*COUNTIF(D17:J17,"Not verified"))/(7-COUNTIF(D17:J17,"N/A")))</x:f>
        <x:v>0.4428571428571429</x:v>
      </x:c>
      <x:c r="O17" s="40" t="str">
        <x:v>Merge PR #19; verify revocation and expiry</x:v>
      </x:c>
      <x:c r="P17" s="40" t="str">
        <x:v>Database-backed API sessions are in PR #19.</x:v>
      </x:c>
      <x:c r="Q17" s="40" t="str">
        <x:v>https://github.com/kmwstudy88-ship-it/SafeStepsApp/pull/19</x:v>
      </x:c>
    </x:row>
    <x:row r="18">
      <x:c r="A18" s="36" t="str">
        <x:v>CASE-001</x:v>
      </x:c>
      <x:c r="B18" s="40" t="str">
        <x:v>Family &amp; Case Management</x:v>
      </x:c>
      <x:c r="C18" s="40" t="str">
        <x:v>12-step parent intake</x:v>
      </x:c>
      <x:c r="D18" s="40" t="str">
        <x:v>Complete</x:v>
      </x:c>
      <x:c r="E18" s="40" t="str">
        <x:v>Complete</x:v>
      </x:c>
      <x:c r="F18" s="40" t="str">
        <x:v>Complete</x:v>
      </x:c>
      <x:c r="G18" s="40" t="str">
        <x:v>Complete</x:v>
      </x:c>
      <x:c r="H18" s="40" t="str">
        <x:v>Complete</x:v>
      </x:c>
      <x:c r="I18" s="40" t="str">
        <x:v>Complete</x:v>
      </x:c>
      <x:c r="J18" s="40" t="str">
        <x:v>Partial</x:v>
      </x:c>
      <x:c r="K18" s="40" t="str">
        <x:v>Main</x:v>
      </x:c>
      <x:c r="L18" s="40" t="str">
        <x:v>Substantial</x:v>
      </x:c>
      <x:c r="M18" s="40" t="str">
        <x:v>P1</x:v>
      </x:c>
      <x:c r="N18" s="41" t="n">
        <x:f>IF((7-COUNTIF(D18:J18,"N/A"))=0,0,(COUNTIF(D18:J18,"Complete")+0.5*COUNTIF(D18:J18,"Partial")+0.4*COUNTIF(D18:J18,"Open PR")+0.25*COUNTIF(D18:J18,"Not verified"))/(7-COUNTIF(D18:J18,"N/A")))</x:f>
        <x:v>0.9285714285714286</x:v>
      </x:c>
      <x:c r="O18" s="40" t="str">
        <x:v>End-to-end test all sections with a fresh account</x:v>
      </x:c>
      <x:c r="P18" s="40" t="str">
        <x:v>Merged PR #17.</x:v>
      </x:c>
      <x:c r="Q18" s="40" t="str">
        <x:v>https://github.com/kmwstudy88-ship-it/SafeStepsApp/pull/17</x:v>
      </x:c>
    </x:row>
    <x:row r="19">
      <x:c r="A19" s="36" t="str">
        <x:v>CASE-002</x:v>
      </x:c>
      <x:c r="B19" s="40" t="str">
        <x:v>Family &amp; Case Management</x:v>
      </x:c>
      <x:c r="C19" s="40" t="str">
        <x:v>Save-and-resume intake drafts</x:v>
      </x:c>
      <x:c r="D19" s="40" t="str">
        <x:v>Complete</x:v>
      </x:c>
      <x:c r="E19" s="40" t="str">
        <x:v>Complete</x:v>
      </x:c>
      <x:c r="F19" s="40" t="str">
        <x:v>Complete</x:v>
      </x:c>
      <x:c r="G19" s="40" t="str">
        <x:v>Complete</x:v>
      </x:c>
      <x:c r="H19" s="40" t="str">
        <x:v>Complete</x:v>
      </x:c>
      <x:c r="I19" s="40" t="str">
        <x:v>Complete</x:v>
      </x:c>
      <x:c r="J19" s="40" t="str">
        <x:v>Partial</x:v>
      </x:c>
      <x:c r="K19" s="40" t="str">
        <x:v>Main</x:v>
      </x:c>
      <x:c r="L19" s="40" t="str">
        <x:v>Substantial</x:v>
      </x:c>
      <x:c r="M19" s="40" t="str">
        <x:v>P1</x:v>
      </x:c>
      <x:c r="N19" s="41" t="n">
        <x:f>IF((7-COUNTIF(D19:J19,"N/A"))=0,0,(COUNTIF(D19:J19,"Complete")+0.5*COUNTIF(D19:J19,"Partial")+0.4*COUNTIF(D19:J19,"Open PR")+0.25*COUNTIF(D19:J19,"Not verified"))/(7-COUNTIF(D19:J19,"N/A")))</x:f>
        <x:v>0.9285714285714286</x:v>
      </x:c>
      <x:c r="O19" s="40" t="str">
        <x:v>Test interruption/resume on web + native</x:v>
      </x:c>
      <x:c r="P19" s="40" t="str">
        <x:v>Merged PR #17.</x:v>
      </x:c>
      <x:c r="Q19" s="40" t="str">
        <x:v>https://github.com/kmwstudy88-ship-it/SafeStepsApp/pull/17</x:v>
      </x:c>
    </x:row>
    <x:row r="20">
      <x:c r="A20" s="36" t="str">
        <x:v>CASE-003</x:v>
      </x:c>
      <x:c r="B20" s="40" t="str">
        <x:v>Family &amp; Case Management</x:v>
      </x:c>
      <x:c r="C20" s="40" t="str">
        <x:v>Canonical parent profile persistence</x:v>
      </x:c>
      <x:c r="D20" s="40" t="str">
        <x:v>Complete</x:v>
      </x:c>
      <x:c r="E20" s="40" t="str">
        <x:v>Complete</x:v>
      </x:c>
      <x:c r="F20" s="40" t="str">
        <x:v>Complete</x:v>
      </x:c>
      <x:c r="G20" s="40" t="str">
        <x:v>Complete</x:v>
      </x:c>
      <x:c r="H20" s="40" t="str">
        <x:v>Complete</x:v>
      </x:c>
      <x:c r="I20" s="40" t="str">
        <x:v>Complete</x:v>
      </x:c>
      <x:c r="J20" s="40" t="str">
        <x:v>Partial</x:v>
      </x:c>
      <x:c r="K20" s="40" t="str">
        <x:v>Main</x:v>
      </x:c>
      <x:c r="L20" s="40" t="str">
        <x:v>Substantial</x:v>
      </x:c>
      <x:c r="M20" s="40" t="str">
        <x:v>P1</x:v>
      </x:c>
      <x:c r="N20" s="41" t="n">
        <x:f>IF((7-COUNTIF(D20:J20,"N/A"))=0,0,(COUNTIF(D20:J20,"Complete")+0.5*COUNTIF(D20:J20,"Partial")+0.4*COUNTIF(D20:J20,"Open PR")+0.25*COUNTIF(D20:J20,"Not verified"))/(7-COUNTIF(D20:J20,"N/A")))</x:f>
        <x:v>0.9285714285714286</x:v>
      </x:c>
      <x:c r="O20" s="40" t="str">
        <x:v>Verify profile updates and RLS across roles</x:v>
      </x:c>
      <x:c r="P20" s="40" t="str">
        <x:v>Parent profile data persisted through protected intake.</x:v>
      </x:c>
      <x:c r="Q20" s="40" t="str">
        <x:v>https://github.com/kmwstudy88-ship-it/SafeStepsApp/pull/17</x:v>
      </x:c>
    </x:row>
    <x:row r="21">
      <x:c r="A21" s="36" t="str">
        <x:v>CASE-004</x:v>
      </x:c>
      <x:c r="B21" s="40" t="str">
        <x:v>Family &amp; Case Management</x:v>
      </x:c>
      <x:c r="C21" s="40" t="str">
        <x:v>Family/child records captured from intake</x:v>
      </x:c>
      <x:c r="D21" s="40" t="str">
        <x:v>Complete</x:v>
      </x:c>
      <x:c r="E21" s="40" t="str">
        <x:v>Complete</x:v>
      </x:c>
      <x:c r="F21" s="40" t="str">
        <x:v>Complete</x:v>
      </x:c>
      <x:c r="G21" s="40" t="str">
        <x:v>Complete</x:v>
      </x:c>
      <x:c r="H21" s="40" t="str">
        <x:v>Partial</x:v>
      </x:c>
      <x:c r="I21" s="40" t="str">
        <x:v>Partial</x:v>
      </x:c>
      <x:c r="J21" s="40" t="str">
        <x:v>Missing</x:v>
      </x:c>
      <x:c r="K21" s="40" t="str">
        <x:v>Main</x:v>
      </x:c>
      <x:c r="L21" s="40" t="str">
        <x:v>Partial</x:v>
      </x:c>
      <x:c r="M21" s="40" t="str">
        <x:v>P1</x:v>
      </x:c>
      <x:c r="N21" s="41" t="n">
        <x:f>IF((7-COUNTIF(D21:J21,"N/A"))=0,0,(COUNTIF(D21:J21,"Complete")+0.5*COUNTIF(D21:J21,"Partial")+0.4*COUNTIF(D21:J21,"Open PR")+0.25*COUNTIF(D21:J21,"Not verified"))/(7-COUNTIF(D21:J21,"N/A")))</x:f>
        <x:v>0.7142857142857143</x:v>
      </x:c>
      <x:c r="O21" s="40" t="str">
        <x:v>Verify canonical child/family linkage and avoid duplicate models</x:v>
      </x:c>
      <x:c r="P21" s="40" t="str">
        <x:v>Intake records child names/context but full multi-person household workflow needs verification.</x:v>
      </x:c>
      <x:c r="Q21" s="40" t="str">
        <x:v>https://github.com/kmwstudy88-ship-it/SafeStepsApp/pull/17</x:v>
      </x:c>
    </x:row>
    <x:row r="22">
      <x:c r="A22" s="36" t="str">
        <x:v>CASE-005</x:v>
      </x:c>
      <x:c r="B22" s="40" t="str">
        <x:v>Family &amp; Case Management</x:v>
      </x:c>
      <x:c r="C22" s="40" t="str">
        <x:v>Case creation and owner membership</x:v>
      </x:c>
      <x:c r="D22" s="40" t="str">
        <x:v>Complete</x:v>
      </x:c>
      <x:c r="E22" s="40" t="str">
        <x:v>Complete</x:v>
      </x:c>
      <x:c r="F22" s="40" t="str">
        <x:v>Complete</x:v>
      </x:c>
      <x:c r="G22" s="40" t="str">
        <x:v>Complete</x:v>
      </x:c>
      <x:c r="H22" s="40" t="str">
        <x:v>Complete</x:v>
      </x:c>
      <x:c r="I22" s="40" t="str">
        <x:v>Complete</x:v>
      </x:c>
      <x:c r="J22" s="40" t="str">
        <x:v>Partial</x:v>
      </x:c>
      <x:c r="K22" s="40" t="str">
        <x:v>Main</x:v>
      </x:c>
      <x:c r="L22" s="40" t="str">
        <x:v>Substantial</x:v>
      </x:c>
      <x:c r="M22" s="40" t="str">
        <x:v>P1</x:v>
      </x:c>
      <x:c r="N22" s="41" t="n">
        <x:f>IF((7-COUNTIF(D22:J22,"N/A"))=0,0,(COUNTIF(D22:J22,"Complete")+0.5*COUNTIF(D22:J22,"Partial")+0.4*COUNTIF(D22:J22,"Open PR")+0.25*COUNTIF(D22:J22,"Not verified"))/(7-COUNTIF(D22:J22,"N/A")))</x:f>
        <x:v>0.9285714285714286</x:v>
      </x:c>
      <x:c r="O22" s="40" t="str">
        <x:v>Test multiple active cases per user</x:v>
      </x:c>
      <x:c r="P22" s="40" t="str">
        <x:v>Protected parent case and active owner membership can be created during intake.</x:v>
      </x:c>
      <x:c r="Q22" s="40" t="str">
        <x:v>https://github.com/kmwstudy88-ship-it/SafeStepsApp/pull/17</x:v>
      </x:c>
    </x:row>
    <x:row r="23">
      <x:c r="A23" s="36" t="str">
        <x:v>CASE-006</x:v>
      </x:c>
      <x:c r="B23" s="40" t="str">
        <x:v>Family &amp; Case Management</x:v>
      </x:c>
      <x:c r="C23" s="40" t="str">
        <x:v>Case memberships / sensitive case access</x:v>
      </x:c>
      <x:c r="D23" s="40" t="str">
        <x:v>Complete</x:v>
      </x:c>
      <x:c r="E23" s="40" t="str">
        <x:v>Complete</x:v>
      </x:c>
      <x:c r="F23" s="40" t="str">
        <x:v>Complete</x:v>
      </x:c>
      <x:c r="G23" s="40" t="str">
        <x:v>Complete</x:v>
      </x:c>
      <x:c r="H23" s="40" t="str">
        <x:v>Complete</x:v>
      </x:c>
      <x:c r="I23" s="40" t="str">
        <x:v>Complete</x:v>
      </x:c>
      <x:c r="J23" s="40" t="str">
        <x:v>Partial</x:v>
      </x:c>
      <x:c r="K23" s="40" t="str">
        <x:v>Main</x:v>
      </x:c>
      <x:c r="L23" s="40" t="str">
        <x:v>Substantial</x:v>
      </x:c>
      <x:c r="M23" s="40" t="str">
        <x:v>P1</x:v>
      </x:c>
      <x:c r="N23" s="41" t="n">
        <x:f>IF((7-COUNTIF(D23:J23,"N/A"))=0,0,(COUNTIF(D23:J23,"Complete")+0.5*COUNTIF(D23:J23,"Partial")+0.4*COUNTIF(D23:J23,"Open PR")+0.25*COUNTIF(D23:J23,"Not verified"))/(7-COUNTIF(D23:J23,"N/A")))</x:f>
        <x:v>0.9285714285714286</x:v>
      </x:c>
      <x:c r="O23" s="40" t="str">
        <x:v>Run cross-family and cross-role negative tests</x:v>
      </x:c>
      <x:c r="P23" s="40" t="str">
        <x:v>Merged PR #8 added case membership guards/RLS.</x:v>
      </x:c>
      <x:c r="Q23" s="40" t="str">
        <x:v>https://github.com/kmwstudy88-ship-it/SafeStepsApp/pull/8</x:v>
      </x:c>
    </x:row>
    <x:row r="24">
      <x:c r="A24" s="36" t="str">
        <x:v>CASE-007</x:v>
      </x:c>
      <x:c r="B24" s="40" t="str">
        <x:v>Family &amp; Case Management</x:v>
      </x:c>
      <x:c r="C24" s="40" t="str">
        <x:v>Multi-case context selection</x:v>
      </x:c>
      <x:c r="D24" s="40" t="str">
        <x:v>Complete</x:v>
      </x:c>
      <x:c r="E24" s="40" t="str">
        <x:v>Complete</x:v>
      </x:c>
      <x:c r="F24" s="40" t="str">
        <x:v>Complete</x:v>
      </x:c>
      <x:c r="G24" s="40" t="str">
        <x:v>Partial</x:v>
      </x:c>
      <x:c r="H24" s="40" t="str">
        <x:v>Partial</x:v>
      </x:c>
      <x:c r="I24" s="40" t="str">
        <x:v>Complete</x:v>
      </x:c>
      <x:c r="J24" s="40" t="str">
        <x:v>Partial</x:v>
      </x:c>
      <x:c r="K24" s="40" t="str">
        <x:v>Main</x:v>
      </x:c>
      <x:c r="L24" s="40" t="str">
        <x:v>Partial</x:v>
      </x:c>
      <x:c r="M24" s="40" t="str">
        <x:v>P1</x:v>
      </x:c>
      <x:c r="N24" s="41" t="n">
        <x:f>IF((7-COUNTIF(D24:J24,"N/A"))=0,0,(COUNTIF(D24:J24,"Complete")+0.5*COUNTIF(D24:J24,"Partial")+0.4*COUNTIF(D24:J24,"Open PR")+0.25*COUNTIF(D24:J24,"Not verified"))/(7-COUNTIF(D24:J24,"N/A")))</x:f>
        <x:v>0.7857142857142857</x:v>
      </x:c>
      <x:c r="O24" s="40" t="str">
        <x:v>Test workers/users with &gt;1 active case across every sensitive route</x:v>
      </x:c>
      <x:c r="P24" s="40" t="str">
        <x:v>Security layer refuses ambiguous multi-case context; UX completeness needs verification.</x:v>
      </x:c>
      <x:c r="Q24" s="40" t="str">
        <x:v>https://github.com/kmwstudy88-ship-it/SafeStepsApp/pull/8</x:v>
      </x:c>
    </x:row>
    <x:row r="25">
      <x:c r="A25" s="36" t="str">
        <x:v>CASE-008</x:v>
      </x:c>
      <x:c r="B25" s="40" t="str">
        <x:v>Family &amp; Case Management</x:v>
      </x:c>
      <x:c r="C25" s="40" t="str">
        <x:v>Worker intake review queue</x:v>
      </x:c>
      <x:c r="D25" s="40" t="str">
        <x:v>Complete</x:v>
      </x:c>
      <x:c r="E25" s="40" t="str">
        <x:v>Complete</x:v>
      </x:c>
      <x:c r="F25" s="40" t="str">
        <x:v>Complete</x:v>
      </x:c>
      <x:c r="G25" s="40" t="str">
        <x:v>Complete</x:v>
      </x:c>
      <x:c r="H25" s="40" t="str">
        <x:v>Complete</x:v>
      </x:c>
      <x:c r="I25" s="40" t="str">
        <x:v>Complete</x:v>
      </x:c>
      <x:c r="J25" s="40" t="str">
        <x:v>Partial</x:v>
      </x:c>
      <x:c r="K25" s="40" t="str">
        <x:v>Main</x:v>
      </x:c>
      <x:c r="L25" s="40" t="str">
        <x:v>Substantial</x:v>
      </x:c>
      <x:c r="M25" s="40" t="str">
        <x:v>P1</x:v>
      </x:c>
      <x:c r="N25" s="41" t="n">
        <x:f>IF((7-COUNTIF(D25:J25,"N/A"))=0,0,(COUNTIF(D25:J25,"Complete")+0.5*COUNTIF(D25:J25,"Partial")+0.4*COUNTIF(D25:J25,"Open PR")+0.25*COUNTIF(D25:J25,"Not verified"))/(7-COUNTIF(D25:J25,"N/A")))</x:f>
        <x:v>0.9285714285714286</x:v>
      </x:c>
      <x:c r="O25" s="40" t="str">
        <x:v>Test review/approval with real worker accounts</x:v>
      </x:c>
      <x:c r="P25" s="40" t="str">
        <x:v>Merged program-start gate introduced worker review queue.</x:v>
      </x:c>
      <x:c r="Q25" s="40" t="str">
        <x:v>https://github.com/kmwstudy88-ship-it/SafeStepsApp/pull/9</x:v>
      </x:c>
    </x:row>
    <x:row r="26">
      <x:c r="A26" s="36" t="str">
        <x:v>CASE-009</x:v>
      </x:c>
      <x:c r="B26" s="40" t="str">
        <x:v>Family &amp; Case Management</x:v>
      </x:c>
      <x:c r="C26" s="40" t="str">
        <x:v>Program recommendation from intake</x:v>
      </x:c>
      <x:c r="D26" s="40" t="str">
        <x:v>Complete</x:v>
      </x:c>
      <x:c r="E26" s="40" t="str">
        <x:v>Open PR</x:v>
      </x:c>
      <x:c r="F26" s="40" t="str">
        <x:v>Open PR</x:v>
      </x:c>
      <x:c r="G26" s="40" t="str">
        <x:v>Open PR</x:v>
      </x:c>
      <x:c r="H26" s="40" t="str">
        <x:v>Open PR</x:v>
      </x:c>
      <x:c r="I26" s="40" t="str">
        <x:v>Open PR</x:v>
      </x:c>
      <x:c r="J26" s="40" t="str">
        <x:v>Missing</x:v>
      </x:c>
      <x:c r="K26" s="40" t="str">
        <x:v>PR #18</x:v>
      </x:c>
      <x:c r="L26" s="40" t="str">
        <x:v>Built but unmerged</x:v>
      </x:c>
      <x:c r="M26" s="40" t="str">
        <x:v>P1</x:v>
      </x:c>
      <x:c r="N26" s="41" t="n">
        <x:f>IF((7-COUNTIF(D26:J26,"N/A"))=0,0,(COUNTIF(D26:J26,"Complete")+0.5*COUNTIF(D26:J26,"Partial")+0.4*COUNTIF(D26:J26,"Open PR")+0.25*COUNTIF(D26:J26,"Not verified"))/(7-COUNTIF(D26:J26,"N/A")))</x:f>
        <x:v>0.42857142857142855</x:v>
      </x:c>
      <x:c r="O26" s="40" t="str">
        <x:v>Finish/review/merge PR #18 and apply migration</x:v>
      </x:c>
      <x:c r="P26" s="40" t="str">
        <x:v>Transparent recommendation/confirmation is in draft PR #18.</x:v>
      </x:c>
      <x:c r="Q26" s="40" t="str">
        <x:v>https://github.com/kmwstudy88-ship-it/SafeStepsApp/pull/18</x:v>
      </x:c>
    </x:row>
    <x:row r="27">
      <x:c r="A27" s="36" t="str">
        <x:v>CASE-010</x:v>
      </x:c>
      <x:c r="B27" s="40" t="str">
        <x:v>Family &amp; Case Management</x:v>
      </x:c>
      <x:c r="C27" s="40" t="str">
        <x:v>Case plan goals &amp; objectives</x:v>
      </x:c>
      <x:c r="D27" s="40" t="str">
        <x:v>Complete</x:v>
      </x:c>
      <x:c r="E27" s="40" t="str">
        <x:v>Complete</x:v>
      </x:c>
      <x:c r="F27" s="40" t="str">
        <x:v>Complete</x:v>
      </x:c>
      <x:c r="G27" s="40" t="str">
        <x:v>Partial</x:v>
      </x:c>
      <x:c r="H27" s="40" t="str">
        <x:v>Partial</x:v>
      </x:c>
      <x:c r="I27" s="40" t="str">
        <x:v>Not verified</x:v>
      </x:c>
      <x:c r="J27" s="40" t="str">
        <x:v>Missing</x:v>
      </x:c>
      <x:c r="K27" s="40" t="str">
        <x:v>Main</x:v>
      </x:c>
      <x:c r="L27" s="40" t="str">
        <x:v>Partial</x:v>
      </x:c>
      <x:c r="M27" s="40" t="str">
        <x:v>P2</x:v>
      </x:c>
      <x:c r="N27" s="41" t="n">
        <x:f>IF((7-COUNTIF(D27:J27,"N/A"))=0,0,(COUNTIF(D27:J27,"Complete")+0.5*COUNTIF(D27:J27,"Partial")+0.4*COUNTIF(D27:J27,"Open PR")+0.25*COUNTIF(D27:J27,"Not verified"))/(7-COUNTIF(D27:J27,"N/A")))</x:f>
        <x:v>0.6071428571428571</x:v>
      </x:c>
      <x:c r="O27" s="40" t="str">
        <x:v>Connect worker-facing UI fully to live records</x:v>
      </x:c>
      <x:c r="P27" s="40" t="str">
        <x:v>Tables exist in assessment/case migration.</x:v>
      </x:c>
      <x:c r="Q27" s="40" t="str">
        <x:v>https://github.com/kmwstudy88-ship-it/SafeStepsApp/blob/main/supabase/migrations/20260701225859_assessment_data_model.sql</x:v>
      </x:c>
    </x:row>
    <x:row r="28">
      <x:c r="A28" s="36" t="str">
        <x:v>CASE-011</x:v>
      </x:c>
      <x:c r="B28" s="40" t="str">
        <x:v>Family &amp; Case Management</x:v>
      </x:c>
      <x:c r="C28" s="40" t="str">
        <x:v>Case progress notes</x:v>
      </x:c>
      <x:c r="D28" s="40" t="str">
        <x:v>Complete</x:v>
      </x:c>
      <x:c r="E28" s="40" t="str">
        <x:v>Complete</x:v>
      </x:c>
      <x:c r="F28" s="40" t="str">
        <x:v>Complete</x:v>
      </x:c>
      <x:c r="G28" s="40" t="str">
        <x:v>Partial</x:v>
      </x:c>
      <x:c r="H28" s="40" t="str">
        <x:v>Partial</x:v>
      </x:c>
      <x:c r="I28" s="40" t="str">
        <x:v>Not verified</x:v>
      </x:c>
      <x:c r="J28" s="40" t="str">
        <x:v>Missing</x:v>
      </x:c>
      <x:c r="K28" s="40" t="str">
        <x:v>Main</x:v>
      </x:c>
      <x:c r="L28" s="40" t="str">
        <x:v>Partial</x:v>
      </x:c>
      <x:c r="M28" s="40" t="str">
        <x:v>P2</x:v>
      </x:c>
      <x:c r="N28" s="41" t="n">
        <x:f>IF((7-COUNTIF(D28:J28,"N/A"))=0,0,(COUNTIF(D28:J28,"Complete")+0.5*COUNTIF(D28:J28,"Partial")+0.4*COUNTIF(D28:J28,"Open PR")+0.25*COUNTIF(D28:J28,"Not verified"))/(7-COUNTIF(D28:J28,"N/A")))</x:f>
        <x:v>0.6071428571428571</x:v>
      </x:c>
      <x:c r="O28" s="40" t="str">
        <x:v>Complete live notes UI, permissions, edit/supersede rules</x:v>
      </x:c>
      <x:c r="P28" s="40" t="str">
        <x:v>Case progress notes table exists.</x:v>
      </x:c>
      <x:c r="Q28" s="40" t="str">
        <x:v>https://github.com/kmwstudy88-ship-it/SafeStepsApp/blob/main/supabase/migrations/20260701225859_assessment_data_model.sql</x:v>
      </x:c>
    </x:row>
    <x:row r="29">
      <x:c r="A29" s="36" t="str">
        <x:v>CASE-012</x:v>
      </x:c>
      <x:c r="B29" s="40" t="str">
        <x:v>Family &amp; Case Management</x:v>
      </x:c>
      <x:c r="C29" s="40" t="str">
        <x:v>Safety plans</x:v>
      </x:c>
      <x:c r="D29" s="40" t="str">
        <x:v>Complete</x:v>
      </x:c>
      <x:c r="E29" s="40" t="str">
        <x:v>Complete</x:v>
      </x:c>
      <x:c r="F29" s="40" t="str">
        <x:v>Complete</x:v>
      </x:c>
      <x:c r="G29" s="40" t="str">
        <x:v>Partial</x:v>
      </x:c>
      <x:c r="H29" s="40" t="str">
        <x:v>Partial</x:v>
      </x:c>
      <x:c r="I29" s="40" t="str">
        <x:v>Not verified</x:v>
      </x:c>
      <x:c r="J29" s="40" t="str">
        <x:v>Missing</x:v>
      </x:c>
      <x:c r="K29" s="40" t="str">
        <x:v>Main</x:v>
      </x:c>
      <x:c r="L29" s="40" t="str">
        <x:v>Partial</x:v>
      </x:c>
      <x:c r="M29" s="40" t="str">
        <x:v>P2</x:v>
      </x:c>
      <x:c r="N29" s="41" t="n">
        <x:f>IF((7-COUNTIF(D29:J29,"N/A"))=0,0,(COUNTIF(D29:J29,"Complete")+0.5*COUNTIF(D29:J29,"Partial")+0.4*COUNTIF(D29:J29,"Open PR")+0.25*COUNTIF(D29:J29,"Not verified"))/(7-COUNTIF(D29:J29,"N/A")))</x:f>
        <x:v>0.6071428571428571</x:v>
      </x:c>
      <x:c r="O29" s="40" t="str">
        <x:v>Complete role-based safety-plan workflow and review cycle</x:v>
      </x:c>
      <x:c r="P29" s="40" t="str">
        <x:v>Case safety plans table exists.</x:v>
      </x:c>
      <x:c r="Q29" s="40" t="str">
        <x:v>https://github.com/kmwstudy88-ship-it/SafeStepsApp/blob/main/supabase/migrations/20260701225859_assessment_data_model.sql</x:v>
      </x:c>
    </x:row>
    <x:row r="30">
      <x:c r="A30" s="36" t="str">
        <x:v>CASE-013</x:v>
      </x:c>
      <x:c r="B30" s="40" t="str">
        <x:v>Family &amp; Case Management</x:v>
      </x:c>
      <x:c r="C30" s="40" t="str">
        <x:v>Court hearings / deadlines</x:v>
      </x:c>
      <x:c r="D30" s="40" t="str">
        <x:v>Complete</x:v>
      </x:c>
      <x:c r="E30" s="40" t="str">
        <x:v>Complete</x:v>
      </x:c>
      <x:c r="F30" s="40" t="str">
        <x:v>Complete</x:v>
      </x:c>
      <x:c r="G30" s="40" t="str">
        <x:v>Partial</x:v>
      </x:c>
      <x:c r="H30" s="40" t="str">
        <x:v>Partial</x:v>
      </x:c>
      <x:c r="I30" s="40" t="str">
        <x:v>Not verified</x:v>
      </x:c>
      <x:c r="J30" s="40" t="str">
        <x:v>Missing</x:v>
      </x:c>
      <x:c r="K30" s="40" t="str">
        <x:v>Main</x:v>
      </x:c>
      <x:c r="L30" s="40" t="str">
        <x:v>Partial</x:v>
      </x:c>
      <x:c r="M30" s="40" t="str">
        <x:v>P2</x:v>
      </x:c>
      <x:c r="N30" s="41" t="n">
        <x:f>IF((7-COUNTIF(D30:J30,"N/A"))=0,0,(COUNTIF(D30:J30,"Complete")+0.5*COUNTIF(D30:J30,"Partial")+0.4*COUNTIF(D30:J30,"Open PR")+0.25*COUNTIF(D30:J30,"Not verified"))/(7-COUNTIF(D30:J30,"N/A")))</x:f>
        <x:v>0.6071428571428571</x:v>
      </x:c>
      <x:c r="O30" s="40" t="str">
        <x:v>Connect court hearing UI and reminder/report deadlines</x:v>
      </x:c>
      <x:c r="P30" s="40" t="str">
        <x:v>Case court hearings table exists.</x:v>
      </x:c>
      <x:c r="Q30" s="40" t="str">
        <x:v>https://github.com/kmwstudy88-ship-it/SafeStepsApp/blob/main/supabase/migrations/20260701225859_assessment_data_model.sql</x:v>
      </x:c>
    </x:row>
    <x:row r="31">
      <x:c r="A31" s="36" t="str">
        <x:v>CASE-014</x:v>
      </x:c>
      <x:c r="B31" s="40" t="str">
        <x:v>Family &amp; Case Management</x:v>
      </x:c>
      <x:c r="C31" s="40" t="str">
        <x:v>Visit/contact tracking</x:v>
      </x:c>
      <x:c r="D31" s="40" t="str">
        <x:v>Complete</x:v>
      </x:c>
      <x:c r="E31" s="40" t="str">
        <x:v>Complete</x:v>
      </x:c>
      <x:c r="F31" s="40" t="str">
        <x:v>Complete</x:v>
      </x:c>
      <x:c r="G31" s="40" t="str">
        <x:v>Partial</x:v>
      </x:c>
      <x:c r="H31" s="40" t="str">
        <x:v>Partial</x:v>
      </x:c>
      <x:c r="I31" s="40" t="str">
        <x:v>Not verified</x:v>
      </x:c>
      <x:c r="J31" s="40" t="str">
        <x:v>Missing</x:v>
      </x:c>
      <x:c r="K31" s="40" t="str">
        <x:v>Main</x:v>
      </x:c>
      <x:c r="L31" s="40" t="str">
        <x:v>Partial</x:v>
      </x:c>
      <x:c r="M31" s="40" t="str">
        <x:v>P1</x:v>
      </x:c>
      <x:c r="N31" s="41" t="n">
        <x:f>IF((7-COUNTIF(D31:J31,"N/A"))=0,0,(COUNTIF(D31:J31,"Complete")+0.5*COUNTIF(D31:J31,"Partial")+0.4*COUNTIF(D31:J31,"Open PR")+0.25*COUNTIF(D31:J31,"Not verified"))/(7-COUNTIF(D31:J31,"N/A")))</x:f>
        <x:v>0.6071428571428571</x:v>
      </x:c>
      <x:c r="O31" s="40" t="str">
        <x:v>Connect full visitation UI and longitudinal metrics</x:v>
      </x:c>
      <x:c r="P31" s="40" t="str">
        <x:v>Visit engine and case_visitations table exist.</x:v>
      </x:c>
      <x:c r="Q31" s="40" t="str">
        <x:v>https://github.com/kmwstudy88-ship-it/SafeStepsApp/blob/main/docs/SAFESTEPS_FULL_SYSTEM_SUMMARY_2026-07-15.md</x:v>
      </x:c>
    </x:row>
    <x:row r="32">
      <x:c r="A32" s="36" t="str">
        <x:v>PROG-001</x:v>
      </x:c>
      <x:c r="B32" s="40" t="str">
        <x:v>Programs</x:v>
      </x:c>
      <x:c r="C32" s="40" t="str">
        <x:v>Program catalog / seven pathways</x:v>
      </x:c>
      <x:c r="D32" s="40" t="str">
        <x:v>Complete</x:v>
      </x:c>
      <x:c r="E32" s="40" t="str">
        <x:v>Complete</x:v>
      </x:c>
      <x:c r="F32" s="40" t="str">
        <x:v>Partial</x:v>
      </x:c>
      <x:c r="G32" s="40" t="str">
        <x:v>Complete</x:v>
      </x:c>
      <x:c r="H32" s="40" t="str">
        <x:v>Complete</x:v>
      </x:c>
      <x:c r="I32" s="40" t="str">
        <x:v>Complete</x:v>
      </x:c>
      <x:c r="J32" s="40" t="str">
        <x:v>Partial</x:v>
      </x:c>
      <x:c r="K32" s="40" t="str">
        <x:v>Main</x:v>
      </x:c>
      <x:c r="L32" s="40" t="str">
        <x:v>Substantial</x:v>
      </x:c>
      <x:c r="M32" s="40" t="str">
        <x:v>P1</x:v>
      </x:c>
      <x:c r="N32" s="41" t="n">
        <x:f>IF((7-COUNTIF(D32:J32,"N/A"))=0,0,(COUNTIF(D32:J32,"Complete")+0.5*COUNTIF(D32:J32,"Partial")+0.4*COUNTIF(D32:J32,"Open PR")+0.25*COUNTIF(D32:J32,"Not verified"))/(7-COUNTIF(D32:J32,"N/A")))</x:f>
        <x:v>0.8571428571428571</x:v>
      </x:c>
      <x:c r="O32" s="40" t="str">
        <x:v>Verify each pathway opens only supported content</x:v>
      </x:c>
      <x:c r="P32" s="40" t="str">
        <x:v>Seven program definitions documented.</x:v>
      </x:c>
      <x:c r="Q32" s="40" t="str">
        <x:v>https://github.com/kmwstudy88-ship-it/SafeStepsApp/blob/main/docs/SAFESTEPS_FULL_SYSTEM_SUMMARY_2026-07-15.md</x:v>
      </x:c>
    </x:row>
    <x:row r="33">
      <x:c r="A33" s="36" t="str">
        <x:v>PROG-002</x:v>
      </x:c>
      <x:c r="B33" s="40" t="str">
        <x:v>Programs</x:v>
      </x:c>
      <x:c r="C33" s="40" t="str">
        <x:v>Program enrollment persistence</x:v>
      </x:c>
      <x:c r="D33" s="40" t="str">
        <x:v>Complete</x:v>
      </x:c>
      <x:c r="E33" s="40" t="str">
        <x:v>Complete</x:v>
      </x:c>
      <x:c r="F33" s="40" t="str">
        <x:v>Complete</x:v>
      </x:c>
      <x:c r="G33" s="40" t="str">
        <x:v>Complete</x:v>
      </x:c>
      <x:c r="H33" s="40" t="str">
        <x:v>Complete</x:v>
      </x:c>
      <x:c r="I33" s="40" t="str">
        <x:v>Complete</x:v>
      </x:c>
      <x:c r="J33" s="40" t="str">
        <x:v>Partial</x:v>
      </x:c>
      <x:c r="K33" s="40" t="str">
        <x:v>Main</x:v>
      </x:c>
      <x:c r="L33" s="40" t="str">
        <x:v>Substantial</x:v>
      </x:c>
      <x:c r="M33" s="40" t="str">
        <x:v>P1</x:v>
      </x:c>
      <x:c r="N33" s="41" t="n">
        <x:f>IF((7-COUNTIF(D33:J33,"N/A"))=0,0,(COUNTIF(D33:J33,"Complete")+0.5*COUNTIF(D33:J33,"Partial")+0.4*COUNTIF(D33:J33,"Open PR")+0.25*COUNTIF(D33:J33,"Not verified"))/(7-COUNTIF(D33:J33,"N/A")))</x:f>
        <x:v>0.9285714285714286</x:v>
      </x:c>
      <x:c r="O33" s="40" t="str">
        <x:v>Test enrollment against real production migration state</x:v>
      </x:c>
      <x:c r="P33" s="40" t="str">
        <x:v>Enrollment engine exists.</x:v>
      </x:c>
      <x:c r="Q33" s="40" t="str">
        <x:v>https://github.com/kmwstudy88-ship-it/SafeStepsApp/blob/main/docs/SAFESTEPS_DOT_POINT_FEATURE_INVENTORY_2026-07-15.md</x:v>
      </x:c>
    </x:row>
    <x:row r="34">
      <x:c r="A34" s="36" t="str">
        <x:v>PROG-003</x:v>
      </x:c>
      <x:c r="B34" s="40" t="str">
        <x:v>Programs</x:v>
      </x:c>
      <x:c r="C34" s="40" t="str">
        <x:v>Intake/program-start gating</x:v>
      </x:c>
      <x:c r="D34" s="40" t="str">
        <x:v>Complete</x:v>
      </x:c>
      <x:c r="E34" s="40" t="str">
        <x:v>Complete</x:v>
      </x:c>
      <x:c r="F34" s="40" t="str">
        <x:v>Complete</x:v>
      </x:c>
      <x:c r="G34" s="40" t="str">
        <x:v>Complete</x:v>
      </x:c>
      <x:c r="H34" s="40" t="str">
        <x:v>Complete</x:v>
      </x:c>
      <x:c r="I34" s="40" t="str">
        <x:v>Complete</x:v>
      </x:c>
      <x:c r="J34" s="40" t="str">
        <x:v>Partial</x:v>
      </x:c>
      <x:c r="K34" s="40" t="str">
        <x:v>Main</x:v>
      </x:c>
      <x:c r="L34" s="40" t="str">
        <x:v>Substantial</x:v>
      </x:c>
      <x:c r="M34" s="40" t="str">
        <x:v>P1</x:v>
      </x:c>
      <x:c r="N34" s="41" t="n">
        <x:f>IF((7-COUNTIF(D34:J34,"N/A"))=0,0,(COUNTIF(D34:J34,"Complete")+0.5*COUNTIF(D34:J34,"Partial")+0.4*COUNTIF(D34:J34,"Open PR")+0.25*COUNTIF(D34:J34,"Not verified"))/(7-COUNTIF(D34:J34,"N/A")))</x:f>
        <x:v>0.9285714285714286</x:v>
      </x:c>
      <x:c r="O34" s="40" t="str">
        <x:v>Regression-test every direct start route</x:v>
      </x:c>
      <x:c r="P34" s="40" t="str">
        <x:v>Merged PR #9 enforces gates at UI and DB.</x:v>
      </x:c>
      <x:c r="Q34" s="40" t="str">
        <x:v>https://github.com/kmwstudy88-ship-it/SafeStepsApp/pull/9</x:v>
      </x:c>
    </x:row>
    <x:row r="35">
      <x:c r="A35" s="36" t="str">
        <x:v>PROG-004</x:v>
      </x:c>
      <x:c r="B35" s="40" t="str">
        <x:v>Programs</x:v>
      </x:c>
      <x:c r="C35" s="40" t="str">
        <x:v>Program recommendation confirmation gate</x:v>
      </x:c>
      <x:c r="D35" s="40" t="str">
        <x:v>Complete</x:v>
      </x:c>
      <x:c r="E35" s="40" t="str">
        <x:v>Open PR</x:v>
      </x:c>
      <x:c r="F35" s="40" t="str">
        <x:v>Open PR</x:v>
      </x:c>
      <x:c r="G35" s="40" t="str">
        <x:v>Open PR</x:v>
      </x:c>
      <x:c r="H35" s="40" t="str">
        <x:v>Open PR</x:v>
      </x:c>
      <x:c r="I35" s="40" t="str">
        <x:v>Open PR</x:v>
      </x:c>
      <x:c r="J35" s="40" t="str">
        <x:v>Missing</x:v>
      </x:c>
      <x:c r="K35" s="40" t="str">
        <x:v>PR #18</x:v>
      </x:c>
      <x:c r="L35" s="40" t="str">
        <x:v>Built but unmerged</x:v>
      </x:c>
      <x:c r="M35" s="40" t="str">
        <x:v>P1</x:v>
      </x:c>
      <x:c r="N35" s="41" t="n">
        <x:f>IF((7-COUNTIF(D35:J35,"N/A"))=0,0,(COUNTIF(D35:J35,"Complete")+0.5*COUNTIF(D35:J35,"Partial")+0.4*COUNTIF(D35:J35,"Open PR")+0.25*COUNTIF(D35:J35,"Not verified"))/(7-COUNTIF(D35:J35,"N/A")))</x:f>
        <x:v>0.42857142857142855</x:v>
      </x:c>
      <x:c r="O35" s="40" t="str">
        <x:v>Merge PR #18 after tests and migration review</x:v>
      </x:c>
      <x:c r="P35" s="40" t="str">
        <x:v>Prevents arbitrary program launch after intake.</x:v>
      </x:c>
      <x:c r="Q35" s="40" t="str">
        <x:v>https://github.com/kmwstudy88-ship-it/SafeStepsApp/pull/18</x:v>
      </x:c>
    </x:row>
    <x:row r="36">
      <x:c r="A36" s="36" t="str">
        <x:v>PROG-005</x:v>
      </x:c>
      <x:c r="B36" s="40" t="str">
        <x:v>Programs</x:v>
      </x:c>
      <x:c r="C36" s="40" t="str">
        <x:v>Month/week/day lesson delivery</x:v>
      </x:c>
      <x:c r="D36" s="40" t="str">
        <x:v>Complete</x:v>
      </x:c>
      <x:c r="E36" s="40" t="str">
        <x:v>Complete</x:v>
      </x:c>
      <x:c r="F36" s="40" t="str">
        <x:v>Partial</x:v>
      </x:c>
      <x:c r="G36" s="40" t="str">
        <x:v>Complete</x:v>
      </x:c>
      <x:c r="H36" s="40" t="str">
        <x:v>Complete</x:v>
      </x:c>
      <x:c r="I36" s="40" t="str">
        <x:v>Complete</x:v>
      </x:c>
      <x:c r="J36" s="40" t="str">
        <x:v>Partial</x:v>
      </x:c>
      <x:c r="K36" s="40" t="str">
        <x:v>Main</x:v>
      </x:c>
      <x:c r="L36" s="40" t="str">
        <x:v>Substantial</x:v>
      </x:c>
      <x:c r="M36" s="40" t="str">
        <x:v>P1</x:v>
      </x:c>
      <x:c r="N36" s="41" t="n">
        <x:f>IF((7-COUNTIF(D36:J36,"N/A"))=0,0,(COUNTIF(D36:J36,"Complete")+0.5*COUNTIF(D36:J36,"Partial")+0.4*COUNTIF(D36:J36,"Open PR")+0.25*COUNTIF(D36:J36,"Not verified"))/(7-COUNTIF(D36:J36,"N/A")))</x:f>
        <x:v>0.8571428571428571</x:v>
      </x:c>
      <x:c r="O36" s="40" t="str">
        <x:v>Run one full sample program from start to finish</x:v>
      </x:c>
      <x:c r="P36" s="40" t="str">
        <x:v>Routes and program lesson delivery exist.</x:v>
      </x:c>
      <x:c r="Q36" s="40" t="str">
        <x:v>https://github.com/kmwstudy88-ship-it/SafeStepsApp/blob/main/docs/SAFESTEPS_FULL_SYSTEM_SUMMARY_2026-07-15.md</x:v>
      </x:c>
    </x:row>
    <x:row r="37">
      <x:c r="A37" s="36" t="str">
        <x:v>PROG-006</x:v>
      </x:c>
      <x:c r="B37" s="40" t="str">
        <x:v>Programs</x:v>
      </x:c>
      <x:c r="C37" s="40" t="str">
        <x:v>Program reflections &amp; growth notes</x:v>
      </x:c>
      <x:c r="D37" s="40" t="str">
        <x:v>Complete</x:v>
      </x:c>
      <x:c r="E37" s="40" t="str">
        <x:v>Complete</x:v>
      </x:c>
      <x:c r="F37" s="40" t="str">
        <x:v>Complete</x:v>
      </x:c>
      <x:c r="G37" s="40" t="str">
        <x:v>Complete</x:v>
      </x:c>
      <x:c r="H37" s="40" t="str">
        <x:v>Complete</x:v>
      </x:c>
      <x:c r="I37" s="40" t="str">
        <x:v>Complete</x:v>
      </x:c>
      <x:c r="J37" s="40" t="str">
        <x:v>Partial</x:v>
      </x:c>
      <x:c r="K37" s="40" t="str">
        <x:v>Main</x:v>
      </x:c>
      <x:c r="L37" s="40" t="str">
        <x:v>Substantial</x:v>
      </x:c>
      <x:c r="M37" s="40" t="str">
        <x:v>P2</x:v>
      </x:c>
      <x:c r="N37" s="41" t="n">
        <x:f>IF((7-COUNTIF(D37:J37,"N/A"))=0,0,(COUNTIF(D37:J37,"Complete")+0.5*COUNTIF(D37:J37,"Partial")+0.4*COUNTIF(D37:J37,"Open PR")+0.25*COUNTIF(D37:J37,"Not verified"))/(7-COUNTIF(D37:J37,"N/A")))</x:f>
        <x:v>0.9285714285714286</x:v>
      </x:c>
      <x:c r="O37" s="40" t="str">
        <x:v>Verify all reflection types persist and appear in reports</x:v>
      </x:c>
      <x:c r="P37" s="40" t="str">
        <x:v>Reflection engines and program reflection surfaces exist.</x:v>
      </x:c>
      <x:c r="Q37" s="40" t="str">
        <x:v>https://github.com/kmwstudy88-ship-it/SafeStepsApp/blob/main/docs/SAFESTEPS_DOT_POINT_FEATURE_INVENTORY_2026-07-15.md</x:v>
      </x:c>
    </x:row>
    <x:row r="38">
      <x:c r="A38" s="36" t="str">
        <x:v>PROG-007</x:v>
      </x:c>
      <x:c r="B38" s="40" t="str">
        <x:v>Programs</x:v>
      </x:c>
      <x:c r="C38" s="40" t="str">
        <x:v>Program progress tracking</x:v>
      </x:c>
      <x:c r="D38" s="40" t="str">
        <x:v>Complete</x:v>
      </x:c>
      <x:c r="E38" s="40" t="str">
        <x:v>Complete</x:v>
      </x:c>
      <x:c r="F38" s="40" t="str">
        <x:v>Complete</x:v>
      </x:c>
      <x:c r="G38" s="40" t="str">
        <x:v>Complete</x:v>
      </x:c>
      <x:c r="H38" s="40" t="str">
        <x:v>Complete</x:v>
      </x:c>
      <x:c r="I38" s="40" t="str">
        <x:v>Complete</x:v>
      </x:c>
      <x:c r="J38" s="40" t="str">
        <x:v>Partial</x:v>
      </x:c>
      <x:c r="K38" s="40" t="str">
        <x:v>Main</x:v>
      </x:c>
      <x:c r="L38" s="40" t="str">
        <x:v>Substantial</x:v>
      </x:c>
      <x:c r="M38" s="40" t="str">
        <x:v>P1</x:v>
      </x:c>
      <x:c r="N38" s="41" t="n">
        <x:f>IF((7-COUNTIF(D38:J38,"N/A"))=0,0,(COUNTIF(D38:J38,"Complete")+0.5*COUNTIF(D38:J38,"Partial")+0.4*COUNTIF(D38:J38,"Open PR")+0.25*COUNTIF(D38:J38,"Not verified"))/(7-COUNTIF(D38:J38,"N/A")))</x:f>
        <x:v>0.9285714285714286</x:v>
      </x:c>
      <x:c r="O38" s="40" t="str">
        <x:v>Test progress recalculation after offline/late sync</x:v>
      </x:c>
      <x:c r="P38" s="40" t="str">
        <x:v>Progress engines and dashboard surfaces exist.</x:v>
      </x:c>
      <x:c r="Q38" s="40" t="str">
        <x:v>https://github.com/kmwstudy88-ship-it/SafeStepsApp/blob/main/docs/SAFESTEPS_FULL_SYSTEM_SUMMARY_2026-07-15.md</x:v>
      </x:c>
    </x:row>
    <x:row r="39">
      <x:c r="A39" s="36" t="str">
        <x:v>PROG-008</x:v>
      </x:c>
      <x:c r="B39" s="40" t="str">
        <x:v>Programs</x:v>
      </x:c>
      <x:c r="C39" s="40" t="str">
        <x:v>Certificates</x:v>
      </x:c>
      <x:c r="D39" s="40" t="str">
        <x:v>Complete</x:v>
      </x:c>
      <x:c r="E39" s="40" t="str">
        <x:v>Complete</x:v>
      </x:c>
      <x:c r="F39" s="40" t="str">
        <x:v>Partial</x:v>
      </x:c>
      <x:c r="G39" s="40" t="str">
        <x:v>Complete</x:v>
      </x:c>
      <x:c r="H39" s="40" t="str">
        <x:v>Partial</x:v>
      </x:c>
      <x:c r="I39" s="40" t="str">
        <x:v>Not verified</x:v>
      </x:c>
      <x:c r="J39" s="40" t="str">
        <x:v>Missing</x:v>
      </x:c>
      <x:c r="K39" s="40" t="str">
        <x:v>Main</x:v>
      </x:c>
      <x:c r="L39" s="40" t="str">
        <x:v>Partial</x:v>
      </x:c>
      <x:c r="M39" s="40" t="str">
        <x:v>P3</x:v>
      </x:c>
      <x:c r="N39" s="41" t="n">
        <x:f>IF((7-COUNTIF(D39:J39,"N/A"))=0,0,(COUNTIF(D39:J39,"Complete")+0.5*COUNTIF(D39:J39,"Partial")+0.4*COUNTIF(D39:J39,"Open PR")+0.25*COUNTIF(D39:J39,"Not verified"))/(7-COUNTIF(D39:J39,"N/A")))</x:f>
        <x:v>0.6071428571428571</x:v>
      </x:c>
      <x:c r="O39" s="40" t="str">
        <x:v>Verify generation eligibility, authenticity and export</x:v>
      </x:c>
      <x:c r="P39" s="40" t="str">
        <x:v>Certificate flow exists but production end-to-end not verified.</x:v>
      </x:c>
      <x:c r="Q39" s="40" t="str">
        <x:v>https://github.com/kmwstudy88-ship-it/SafeStepsApp/blob/main/docs/SAFESTEPS_FULL_SYSTEM_SUMMARY_2026-07-15.md</x:v>
      </x:c>
    </x:row>
    <x:row r="40">
      <x:c r="A40" s="36" t="str">
        <x:v>CURR-001</x:v>
      </x:c>
      <x:c r="B40" s="40" t="str">
        <x:v>Curriculum &amp; Learning</x:v>
      </x:c>
      <x:c r="C40" s="40" t="str">
        <x:v>Gold Standard 12-course / 171-lesson library</x:v>
      </x:c>
      <x:c r="D40" s="40" t="str">
        <x:v>Complete</x:v>
      </x:c>
      <x:c r="E40" s="40" t="str">
        <x:v>Complete</x:v>
      </x:c>
      <x:c r="F40" s="40" t="str">
        <x:v>N/A</x:v>
      </x:c>
      <x:c r="G40" s="40" t="str">
        <x:v>Complete</x:v>
      </x:c>
      <x:c r="H40" s="40" t="str">
        <x:v>Complete</x:v>
      </x:c>
      <x:c r="I40" s="40" t="str">
        <x:v>Complete</x:v>
      </x:c>
      <x:c r="J40" s="40" t="str">
        <x:v>Partial</x:v>
      </x:c>
      <x:c r="K40" s="40" t="str">
        <x:v>Main</x:v>
      </x:c>
      <x:c r="L40" s="40" t="str">
        <x:v>Substantial</x:v>
      </x:c>
      <x:c r="M40" s="40" t="str">
        <x:v>P1</x:v>
      </x:c>
      <x:c r="N40" s="41" t="n">
        <x:f>IF((7-COUNTIF(D40:J40,"N/A"))=0,0,(COUNTIF(D40:J40,"Complete")+0.5*COUNTIF(D40:J40,"Partial")+0.4*COUNTIF(D40:J40,"Open PR")+0.25*COUNTIF(D40:J40,"Not verified"))/(7-COUNTIF(D40:J40,"N/A")))</x:f>
        <x:v>0.9166666666666666</x:v>
      </x:c>
      <x:c r="O40" s="40" t="str">
        <x:v>Content QA and release-state review</x:v>
      </x:c>
      <x:c r="P40" s="40" t="str">
        <x:v>Documented canonical library.</x:v>
      </x:c>
      <x:c r="Q40" s="40" t="str">
        <x:v>https://github.com/kmwstudy88-ship-it/SafeStepsApp/blob/main/docs/SAFESTEPS_FULL_SYSTEM_SUMMARY_2026-07-15.md</x:v>
      </x:c>
    </x:row>
    <x:row r="41">
      <x:c r="A41" s="36" t="str">
        <x:v>CURR-002</x:v>
      </x:c>
      <x:c r="B41" s="40" t="str">
        <x:v>Curriculum &amp; Learning</x:v>
      </x:c>
      <x:c r="C41" s="40" t="str">
        <x:v>Expanded lesson library (hundreds of JSON lessons)</x:v>
      </x:c>
      <x:c r="D41" s="40" t="str">
        <x:v>Complete</x:v>
      </x:c>
      <x:c r="E41" s="40" t="str">
        <x:v>Complete</x:v>
      </x:c>
      <x:c r="F41" s="40" t="str">
        <x:v>N/A</x:v>
      </x:c>
      <x:c r="G41" s="40" t="str">
        <x:v>Partial</x:v>
      </x:c>
      <x:c r="H41" s="40" t="str">
        <x:v>Partial</x:v>
      </x:c>
      <x:c r="I41" s="40" t="str">
        <x:v>Not verified</x:v>
      </x:c>
      <x:c r="J41" s="40" t="str">
        <x:v>Missing</x:v>
      </x:c>
      <x:c r="K41" s="40" t="str">
        <x:v>Main</x:v>
      </x:c>
      <x:c r="L41" s="40" t="str">
        <x:v>Staged content</x:v>
      </x:c>
      <x:c r="M41" s="40" t="str">
        <x:v>P2</x:v>
      </x:c>
      <x:c r="N41" s="41" t="n">
        <x:f>IF((7-COUNTIF(D41:J41,"N/A"))=0,0,(COUNTIF(D41:J41,"Complete")+0.5*COUNTIF(D41:J41,"Partial")+0.4*COUNTIF(D41:J41,"Open PR")+0.25*COUNTIF(D41:J41,"Not verified"))/(7-COUNTIF(D41:J41,"N/A")))</x:f>
        <x:v>0.5416666666666666</x:v>
      </x:c>
      <x:c r="O41" s="40" t="str">
        <x:v>Audit duplicates/quality and decide what becomes first-class</x:v>
      </x:c>
      <x:c r="P41" s="40" t="str">
        <x:v>688 lesson JSON files documented on 2026-07-15.</x:v>
      </x:c>
      <x:c r="Q41" s="40" t="str">
        <x:v>https://github.com/kmwstudy88-ship-it/SafeStepsApp/blob/main/docs/SAFESTEPS_DOT_POINT_FEATURE_INVENTORY_2026-07-15.md</x:v>
      </x:c>
    </x:row>
    <x:row r="42">
      <x:c r="A42" s="36" t="str">
        <x:v>CURR-003</x:v>
      </x:c>
      <x:c r="B42" s="40" t="str">
        <x:v>Curriculum &amp; Learning</x:v>
      </x:c>
      <x:c r="C42" s="40" t="str">
        <x:v>Legacy lesson player</x:v>
      </x:c>
      <x:c r="D42" s="40" t="str">
        <x:v>Complete</x:v>
      </x:c>
      <x:c r="E42" s="40" t="str">
        <x:v>Complete</x:v>
      </x:c>
      <x:c r="F42" s="40" t="str">
        <x:v>Partial</x:v>
      </x:c>
      <x:c r="G42" s="40" t="str">
        <x:v>Complete</x:v>
      </x:c>
      <x:c r="H42" s="40" t="str">
        <x:v>Complete</x:v>
      </x:c>
      <x:c r="I42" s="40" t="str">
        <x:v>Complete</x:v>
      </x:c>
      <x:c r="J42" s="40" t="str">
        <x:v>Partial</x:v>
      </x:c>
      <x:c r="K42" s="40" t="str">
        <x:v>Main</x:v>
      </x:c>
      <x:c r="L42" s="40" t="str">
        <x:v>Substantial</x:v>
      </x:c>
      <x:c r="M42" s="40" t="str">
        <x:v>P1</x:v>
      </x:c>
      <x:c r="N42" s="41" t="n">
        <x:f>IF((7-COUNTIF(D42:J42,"N/A"))=0,0,(COUNTIF(D42:J42,"Complete")+0.5*COUNTIF(D42:J42,"Partial")+0.4*COUNTIF(D42:J42,"Open PR")+0.25*COUNTIF(D42:J42,"Not verified"))/(7-COUNTIF(D42:J42,"N/A")))</x:f>
        <x:v>0.8571428571428571</x:v>
      </x:c>
      <x:c r="O42" s="40" t="str">
        <x:v>End-to-end completion/locking QA</x:v>
      </x:c>
      <x:c r="P42" s="40" t="str">
        <x:v>Lesson list/detail/player and completion saving exist.</x:v>
      </x:c>
      <x:c r="Q42" s="40" t="str">
        <x:v>https://github.com/kmwstudy88-ship-it/SafeStepsApp/blob/main/docs/SAFESTEPS_FULL_SYSTEM_SUMMARY_2026-07-15.md</x:v>
      </x:c>
    </x:row>
    <x:row r="43">
      <x:c r="A43" s="36" t="str">
        <x:v>CURR-004</x:v>
      </x:c>
      <x:c r="B43" s="40" t="str">
        <x:v>Curriculum &amp; Learning</x:v>
      </x:c>
      <x:c r="C43" s="40" t="str">
        <x:v>Advanced 15-screen production lesson player</x:v>
      </x:c>
      <x:c r="D43" s="40" t="str">
        <x:v>Complete</x:v>
      </x:c>
      <x:c r="E43" s="40" t="str">
        <x:v>Open PR</x:v>
      </x:c>
      <x:c r="F43" s="40" t="str">
        <x:v>Open PR</x:v>
      </x:c>
      <x:c r="G43" s="40" t="str">
        <x:v>Open PR</x:v>
      </x:c>
      <x:c r="H43" s="40" t="str">
        <x:v>Open PR</x:v>
      </x:c>
      <x:c r="I43" s="40" t="str">
        <x:v>Open PR</x:v>
      </x:c>
      <x:c r="J43" s="40" t="str">
        <x:v>Missing</x:v>
      </x:c>
      <x:c r="K43" s="40" t="str">
        <x:v>PR #11</x:v>
      </x:c>
      <x:c r="L43" s="40" t="str">
        <x:v>Built but unmerged</x:v>
      </x:c>
      <x:c r="M43" s="40" t="str">
        <x:v>P1</x:v>
      </x:c>
      <x:c r="N43" s="41" t="n">
        <x:f>IF((7-COUNTIF(D43:J43,"N/A"))=0,0,(COUNTIF(D43:J43,"Complete")+0.5*COUNTIF(D43:J43,"Partial")+0.4*COUNTIF(D43:J43,"Open PR")+0.25*COUNTIF(D43:J43,"Not verified"))/(7-COUNTIF(D43:J43,"N/A")))</x:f>
        <x:v>0.42857142857142855</x:v>
      </x:c>
      <x:c r="O43" s="40" t="str">
        <x:v>Resolve branch state, merge after full regression tests</x:v>
      </x:c>
      <x:c r="P43" s="40" t="str">
        <x:v>PR #11 contains 15-screen production flow.</x:v>
      </x:c>
      <x:c r="Q43" s="40" t="str">
        <x:v>https://github.com/kmwstudy88-ship-it/SafeStepsApp/pull/11</x:v>
      </x:c>
    </x:row>
    <x:row r="44">
      <x:c r="A44" s="36" t="str">
        <x:v>CURR-005</x:v>
      </x:c>
      <x:c r="B44" s="40" t="str">
        <x:v>Curriculum &amp; Learning</x:v>
      </x:c>
      <x:c r="C44" s="40" t="str">
        <x:v>Video lesson playback</x:v>
      </x:c>
      <x:c r="D44" s="40" t="str">
        <x:v>Complete</x:v>
      </x:c>
      <x:c r="E44" s="40" t="str">
        <x:v>Open PR</x:v>
      </x:c>
      <x:c r="F44" s="40" t="str">
        <x:v>Partial</x:v>
      </x:c>
      <x:c r="G44" s="40" t="str">
        <x:v>Open PR</x:v>
      </x:c>
      <x:c r="H44" s="40" t="str">
        <x:v>Open PR</x:v>
      </x:c>
      <x:c r="I44" s="40" t="str">
        <x:v>Open PR</x:v>
      </x:c>
      <x:c r="J44" s="40" t="str">
        <x:v>Missing</x:v>
      </x:c>
      <x:c r="K44" s="40" t="str">
        <x:v>PR #10/#11</x:v>
      </x:c>
      <x:c r="L44" s="40" t="str">
        <x:v>Built but unmerged</x:v>
      </x:c>
      <x:c r="M44" s="40" t="str">
        <x:v>P2</x:v>
      </x:c>
      <x:c r="N44" s="41" t="n">
        <x:f>IF((7-COUNTIF(D44:J44,"N/A"))=0,0,(COUNTIF(D44:J44,"Complete")+0.5*COUNTIF(D44:J44,"Partial")+0.4*COUNTIF(D44:J44,"Open PR")+0.25*COUNTIF(D44:J44,"Not verified"))/(7-COUNTIF(D44:J44,"N/A")))</x:f>
        <x:v>0.4428571428571429</x:v>
      </x:c>
      <x:c r="O44" s="40" t="str">
        <x:v>Choose canonical video integration and merge only one path</x:v>
      </x:c>
      <x:c r="P44" s="40" t="str">
        <x:v>Video system integration and production lesson media support are in open PRs.</x:v>
      </x:c>
      <x:c r="Q44" s="40" t="str">
        <x:v>https://github.com/kmwstudy88-ship-it/SafeStepsApp/pull/10</x:v>
      </x:c>
    </x:row>
    <x:row r="45">
      <x:c r="A45" s="36" t="str">
        <x:v>CURR-006</x:v>
      </x:c>
      <x:c r="B45" s="40" t="str">
        <x:v>Curriculum &amp; Learning</x:v>
      </x:c>
      <x:c r="C45" s="40" t="str">
        <x:v>Lesson quizzes / pass marks / safety gates</x:v>
      </x:c>
      <x:c r="D45" s="40" t="str">
        <x:v>Complete</x:v>
      </x:c>
      <x:c r="E45" s="40" t="str">
        <x:v>Open PR</x:v>
      </x:c>
      <x:c r="F45" s="40" t="str">
        <x:v>Open PR</x:v>
      </x:c>
      <x:c r="G45" s="40" t="str">
        <x:v>Open PR</x:v>
      </x:c>
      <x:c r="H45" s="40" t="str">
        <x:v>Open PR</x:v>
      </x:c>
      <x:c r="I45" s="40" t="str">
        <x:v>Open PR</x:v>
      </x:c>
      <x:c r="J45" s="40" t="str">
        <x:v>Missing</x:v>
      </x:c>
      <x:c r="K45" s="40" t="str">
        <x:v>PR #11</x:v>
      </x:c>
      <x:c r="L45" s="40" t="str">
        <x:v>Built but unmerged</x:v>
      </x:c>
      <x:c r="M45" s="40" t="str">
        <x:v>P1</x:v>
      </x:c>
      <x:c r="N45" s="41" t="n">
        <x:f>IF((7-COUNTIF(D45:J45,"N/A"))=0,0,(COUNTIF(D45:J45,"Complete")+0.5*COUNTIF(D45:J45,"Partial")+0.4*COUNTIF(D45:J45,"Open PR")+0.25*COUNTIF(D45:J45,"Not verified"))/(7-COUNTIF(D45:J45,"N/A")))</x:f>
        <x:v>0.42857142857142855</x:v>
      </x:c>
      <x:c r="O45" s="40" t="str">
        <x:v>Merge advanced player and validate scoring persistence</x:v>
      </x:c>
      <x:c r="P45" s="40" t="str">
        <x:v>Advanced quiz and critical-safety gates in PR #11.</x:v>
      </x:c>
      <x:c r="Q45" s="40" t="str">
        <x:v>https://github.com/kmwstudy88-ship-it/SafeStepsApp/pull/11</x:v>
      </x:c>
    </x:row>
    <x:row r="46">
      <x:c r="A46" s="36" t="str">
        <x:v>CURR-007</x:v>
      </x:c>
      <x:c r="B46" s="40" t="str">
        <x:v>Curriculum &amp; Learning</x:v>
      </x:c>
      <x:c r="C46" s="40" t="str">
        <x:v>Lesson activities / case study / home practice</x:v>
      </x:c>
      <x:c r="D46" s="40" t="str">
        <x:v>Complete</x:v>
      </x:c>
      <x:c r="E46" s="40" t="str">
        <x:v>Open PR</x:v>
      </x:c>
      <x:c r="F46" s="40" t="str">
        <x:v>Open PR</x:v>
      </x:c>
      <x:c r="G46" s="40" t="str">
        <x:v>Open PR</x:v>
      </x:c>
      <x:c r="H46" s="40" t="str">
        <x:v>Open PR</x:v>
      </x:c>
      <x:c r="I46" s="40" t="str">
        <x:v>Open PR</x:v>
      </x:c>
      <x:c r="J46" s="40" t="str">
        <x:v>Missing</x:v>
      </x:c>
      <x:c r="K46" s="40" t="str">
        <x:v>PR #11</x:v>
      </x:c>
      <x:c r="L46" s="40" t="str">
        <x:v>Built but unmerged</x:v>
      </x:c>
      <x:c r="M46" s="40" t="str">
        <x:v>P2</x:v>
      </x:c>
      <x:c r="N46" s="41" t="n">
        <x:f>IF((7-COUNTIF(D46:J46,"N/A"))=0,0,(COUNTIF(D46:J46,"Complete")+0.5*COUNTIF(D46:J46,"Partial")+0.4*COUNTIF(D46:J46,"Open PR")+0.25*COUNTIF(D46:J46,"Not verified"))/(7-COUNTIF(D46:J46,"N/A")))</x:f>
        <x:v>0.42857142857142855</x:v>
      </x:c>
      <x:c r="O46" s="40" t="str">
        <x:v>Merge advanced player and verify response persistence</x:v>
      </x:c>
      <x:c r="P46" s="40" t="str">
        <x:v>Production lesson structure in PR #11.</x:v>
      </x:c>
      <x:c r="Q46" s="40" t="str">
        <x:v>https://github.com/kmwstudy88-ship-it/SafeStepsApp/pull/11</x:v>
      </x:c>
    </x:row>
    <x:row r="47">
      <x:c r="A47" s="36" t="str">
        <x:v>CURR-008</x:v>
      </x:c>
      <x:c r="B47" s="40" t="str">
        <x:v>Curriculum &amp; Learning</x:v>
      </x:c>
      <x:c r="C47" s="40" t="str">
        <x:v>Curriculum canonical runtime cleanup</x:v>
      </x:c>
      <x:c r="D47" s="40" t="str">
        <x:v>Complete</x:v>
      </x:c>
      <x:c r="E47" s="40" t="str">
        <x:v>Open PR</x:v>
      </x:c>
      <x:c r="F47" s="40" t="str">
        <x:v>N/A</x:v>
      </x:c>
      <x:c r="G47" s="40" t="str">
        <x:v>Open PR</x:v>
      </x:c>
      <x:c r="H47" s="40" t="str">
        <x:v>Open PR</x:v>
      </x:c>
      <x:c r="I47" s="40" t="str">
        <x:v>Open PR</x:v>
      </x:c>
      <x:c r="J47" s="40" t="str">
        <x:v>Missing</x:v>
      </x:c>
      <x:c r="K47" s="40" t="str">
        <x:v>PR #13</x:v>
      </x:c>
      <x:c r="L47" s="40" t="str">
        <x:v>Built but unmerged</x:v>
      </x:c>
      <x:c r="M47" s="40" t="str">
        <x:v>P1</x:v>
      </x:c>
      <x:c r="N47" s="41" t="n">
        <x:f>IF((7-COUNTIF(D47:J47,"N/A"))=0,0,(COUNTIF(D47:J47,"Complete")+0.5*COUNTIF(D47:J47,"Partial")+0.4*COUNTIF(D47:J47,"Open PR")+0.25*COUNTIF(D47:J47,"Not verified"))/(7-COUNTIF(D47:J47,"N/A")))</x:f>
        <x:v>0.43333333333333335</x:v>
      </x:c>
      <x:c r="O47" s="40" t="str">
        <x:v>Rebase/resolve PR #13 or confirm equivalent fixes already on main</x:v>
      </x:c>
      <x:c r="P47" s="40" t="str">
        <x:v>PR #13 addresses canonical curriculum source/runtime.</x:v>
      </x:c>
      <x:c r="Q47" s="40" t="str">
        <x:v>https://github.com/kmwstudy88-ship-it/SafeStepsApp/pull/13</x:v>
      </x:c>
    </x:row>
    <x:row r="48">
      <x:c r="A48" s="36" t="str">
        <x:v>CURR-009</x:v>
      </x:c>
      <x:c r="B48" s="40" t="str">
        <x:v>Curriculum &amp; Learning</x:v>
      </x:c>
      <x:c r="C48" s="40" t="str">
        <x:v>Child curriculum &amp; child lessons</x:v>
      </x:c>
      <x:c r="D48" s="40" t="str">
        <x:v>Complete</x:v>
      </x:c>
      <x:c r="E48" s="40" t="str">
        <x:v>Complete</x:v>
      </x:c>
      <x:c r="F48" s="40" t="str">
        <x:v>Partial</x:v>
      </x:c>
      <x:c r="G48" s="40" t="str">
        <x:v>Complete</x:v>
      </x:c>
      <x:c r="H48" s="40" t="str">
        <x:v>Partial</x:v>
      </x:c>
      <x:c r="I48" s="40" t="str">
        <x:v>Not verified</x:v>
      </x:c>
      <x:c r="J48" s="40" t="str">
        <x:v>Missing</x:v>
      </x:c>
      <x:c r="K48" s="40" t="str">
        <x:v>Main</x:v>
      </x:c>
      <x:c r="L48" s="40" t="str">
        <x:v>Partial</x:v>
      </x:c>
      <x:c r="M48" s="40" t="str">
        <x:v>P1</x:v>
      </x:c>
      <x:c r="N48" s="41" t="n">
        <x:f>IF((7-COUNTIF(D48:J48,"N/A"))=0,0,(COUNTIF(D48:J48,"Complete")+0.5*COUNTIF(D48:J48,"Partial")+0.4*COUNTIF(D48:J48,"Open PR")+0.25*COUNTIF(D48:J48,"Not verified"))/(7-COUNTIF(D48:J48,"N/A")))</x:f>
        <x:v>0.6071428571428571</x:v>
      </x:c>
      <x:c r="O48" s="40" t="str">
        <x:v>Test with child accounts and child-private permissions</x:v>
      </x:c>
      <x:c r="P48" s="40" t="str">
        <x:v>Child curriculum/lesson routes exist.</x:v>
      </x:c>
      <x:c r="Q48" s="40" t="str">
        <x:v>https://github.com/kmwstudy88-ship-it/SafeStepsApp/blob/main/docs/SAFESTEPS_FULL_SYSTEM_SUMMARY_2026-07-15.md</x:v>
      </x:c>
    </x:row>
    <x:row r="49">
      <x:c r="A49" s="36" t="str">
        <x:v>CURR-010</x:v>
      </x:c>
      <x:c r="B49" s="40" t="str">
        <x:v>Curriculum &amp; Learning</x:v>
      </x:c>
      <x:c r="C49" s="40" t="str">
        <x:v>Content admin QA / publishing states</x:v>
      </x:c>
      <x:c r="D49" s="40" t="str">
        <x:v>Complete</x:v>
      </x:c>
      <x:c r="E49" s="40" t="str">
        <x:v>Partial</x:v>
      </x:c>
      <x:c r="F49" s="40" t="str">
        <x:v>Partial</x:v>
      </x:c>
      <x:c r="G49" s="40" t="str">
        <x:v>Partial</x:v>
      </x:c>
      <x:c r="H49" s="40" t="str">
        <x:v>Partial</x:v>
      </x:c>
      <x:c r="I49" s="40" t="str">
        <x:v>Not verified</x:v>
      </x:c>
      <x:c r="J49" s="40" t="str">
        <x:v>Missing</x:v>
      </x:c>
      <x:c r="K49" s="40" t="str">
        <x:v>Main</x:v>
      </x:c>
      <x:c r="L49" s="40" t="str">
        <x:v>Partial</x:v>
      </x:c>
      <x:c r="M49" s="40" t="str">
        <x:v>P2</x:v>
      </x:c>
      <x:c r="N49" s="41" t="n">
        <x:f>IF((7-COUNTIF(D49:J49,"N/A"))=0,0,(COUNTIF(D49:J49,"Complete")+0.5*COUNTIF(D49:J49,"Partial")+0.4*COUNTIF(D49:J49,"Open PR")+0.25*COUNTIF(D49:J49,"Not verified"))/(7-COUNTIF(D49:J49,"N/A")))</x:f>
        <x:v>0.4642857142857143</x:v>
      </x:c>
      <x:c r="O49" s="40" t="str">
        <x:v>Implement draft→review→approved→published→archived workflow</x:v>
      </x:c>
      <x:c r="P49" s="40" t="str">
        <x:v>Admin content surfaces exist; inventory explicitly lists QA/publishing as remaining.</x:v>
      </x:c>
      <x:c r="Q49" s="40" t="str">
        <x:v>https://github.com/kmwstudy88-ship-it/SafeStepsApp/blob/main/docs/SAFESTEPS_DOT_POINT_FEATURE_INVENTORY_2026-07-15.md</x:v>
      </x:c>
    </x:row>
    <x:row r="50">
      <x:c r="A50" s="36" t="str">
        <x:v>ENG-001</x:v>
      </x:c>
      <x:c r="B50" s="40" t="str">
        <x:v>Challenges, Tasks &amp; Games</x:v>
      </x:c>
      <x:c r="C50" s="40" t="str">
        <x:v>Parent challenge library</x:v>
      </x:c>
      <x:c r="D50" s="40" t="str">
        <x:v>Complete</x:v>
      </x:c>
      <x:c r="E50" s="40" t="str">
        <x:v>Complete</x:v>
      </x:c>
      <x:c r="F50" s="40" t="str">
        <x:v>N/A</x:v>
      </x:c>
      <x:c r="G50" s="40" t="str">
        <x:v>Complete</x:v>
      </x:c>
      <x:c r="H50" s="40" t="str">
        <x:v>Complete</x:v>
      </x:c>
      <x:c r="I50" s="40" t="str">
        <x:v>Complete</x:v>
      </x:c>
      <x:c r="J50" s="40" t="str">
        <x:v>Partial</x:v>
      </x:c>
      <x:c r="K50" s="40" t="str">
        <x:v>Main</x:v>
      </x:c>
      <x:c r="L50" s="40" t="str">
        <x:v>Substantial</x:v>
      </x:c>
      <x:c r="M50" s="40" t="str">
        <x:v>P2</x:v>
      </x:c>
      <x:c r="N50" s="41" t="n">
        <x:f>IF((7-COUNTIF(D50:J50,"N/A"))=0,0,(COUNTIF(D50:J50,"Complete")+0.5*COUNTIF(D50:J50,"Partial")+0.4*COUNTIF(D50:J50,"Open PR")+0.25*COUNTIF(D50:J50,"Not verified"))/(7-COUNTIF(D50:J50,"N/A")))</x:f>
        <x:v>0.9166666666666666</x:v>
      </x:c>
      <x:c r="O50" s="40" t="str">
        <x:v>Content QA and production sampling</x:v>
      </x:c>
      <x:c r="P50" s="40" t="str">
        <x:v>104 parent challenges documented.</x:v>
      </x:c>
      <x:c r="Q50" s="40" t="str">
        <x:v>https://github.com/kmwstudy88-ship-it/SafeStepsApp/blob/main/docs/SAFESTEPS_DOT_POINT_FEATURE_INVENTORY_2026-07-15.md</x:v>
      </x:c>
    </x:row>
    <x:row r="51">
      <x:c r="A51" s="36" t="str">
        <x:v>ENG-002</x:v>
      </x:c>
      <x:c r="B51" s="40" t="str">
        <x:v>Challenges, Tasks &amp; Games</x:v>
      </x:c>
      <x:c r="C51" s="40" t="str">
        <x:v>Task creation/completion engine</x:v>
      </x:c>
      <x:c r="D51" s="40" t="str">
        <x:v>Complete</x:v>
      </x:c>
      <x:c r="E51" s="40" t="str">
        <x:v>Complete</x:v>
      </x:c>
      <x:c r="F51" s="40" t="str">
        <x:v>Complete</x:v>
      </x:c>
      <x:c r="G51" s="40" t="str">
        <x:v>Complete</x:v>
      </x:c>
      <x:c r="H51" s="40" t="str">
        <x:v>Complete</x:v>
      </x:c>
      <x:c r="I51" s="40" t="str">
        <x:v>Complete</x:v>
      </x:c>
      <x:c r="J51" s="40" t="str">
        <x:v>Partial</x:v>
      </x:c>
      <x:c r="K51" s="40" t="str">
        <x:v>Main</x:v>
      </x:c>
      <x:c r="L51" s="40" t="str">
        <x:v>Substantial</x:v>
      </x:c>
      <x:c r="M51" s="40" t="str">
        <x:v>P2</x:v>
      </x:c>
      <x:c r="N51" s="41" t="n">
        <x:f>IF((7-COUNTIF(D51:J51,"N/A"))=0,0,(COUNTIF(D51:J51,"Complete")+0.5*COUNTIF(D51:J51,"Partial")+0.4*COUNTIF(D51:J51,"Open PR")+0.25*COUNTIF(D51:J51,"Not verified"))/(7-COUNTIF(D51:J51,"N/A")))</x:f>
        <x:v>0.9285714285714286</x:v>
      </x:c>
      <x:c r="O51" s="40" t="str">
        <x:v>Test recurring/bulk/task evidence edge cases</x:v>
      </x:c>
      <x:c r="P51" s="40" t="str">
        <x:v>Task engine exists.</x:v>
      </x:c>
      <x:c r="Q51" s="40" t="str">
        <x:v>https://github.com/kmwstudy88-ship-it/SafeStepsApp/blob/main/docs/SAFESTEPS_FULL_SYSTEM_SUMMARY_2026-07-15.md</x:v>
      </x:c>
    </x:row>
    <x:row r="52">
      <x:c r="A52" s="36" t="str">
        <x:v>ENG-003</x:v>
      </x:c>
      <x:c r="B52" s="40" t="str">
        <x:v>Challenges, Tasks &amp; Games</x:v>
      </x:c>
      <x:c r="C52" s="40" t="str">
        <x:v>Challenge → task conversion</x:v>
      </x:c>
      <x:c r="D52" s="40" t="str">
        <x:v>Complete</x:v>
      </x:c>
      <x:c r="E52" s="40" t="str">
        <x:v>Complete</x:v>
      </x:c>
      <x:c r="F52" s="40" t="str">
        <x:v>Complete</x:v>
      </x:c>
      <x:c r="G52" s="40" t="str">
        <x:v>Complete</x:v>
      </x:c>
      <x:c r="H52" s="40" t="str">
        <x:v>Complete</x:v>
      </x:c>
      <x:c r="I52" s="40" t="str">
        <x:v>Complete</x:v>
      </x:c>
      <x:c r="J52" s="40" t="str">
        <x:v>Partial</x:v>
      </x:c>
      <x:c r="K52" s="40" t="str">
        <x:v>Main</x:v>
      </x:c>
      <x:c r="L52" s="40" t="str">
        <x:v>Substantial</x:v>
      </x:c>
      <x:c r="M52" s="40" t="str">
        <x:v>P2</x:v>
      </x:c>
      <x:c r="N52" s="41" t="n">
        <x:f>IF((7-COUNTIF(D52:J52,"N/A"))=0,0,(COUNTIF(D52:J52,"Complete")+0.5*COUNTIF(D52:J52,"Partial")+0.4*COUNTIF(D52:J52,"Open PR")+0.25*COUNTIF(D52:J52,"Not verified"))/(7-COUNTIF(D52:J52,"N/A")))</x:f>
        <x:v>0.9285714285714286</x:v>
      </x:c>
      <x:c r="O52" s="40" t="str">
        <x:v>Verify task linking and report visibility</x:v>
      </x:c>
      <x:c r="P52" s="40" t="str">
        <x:v>Supported by task engine.</x:v>
      </x:c>
      <x:c r="Q52" s="40" t="str">
        <x:v>https://github.com/kmwstudy88-ship-it/SafeStepsApp/blob/main/docs/SAFESTEPS_DOT_POINT_FEATURE_INVENTORY_2026-07-15.md</x:v>
      </x:c>
    </x:row>
    <x:row r="53">
      <x:c r="A53" s="36" t="str">
        <x:v>ENG-004</x:v>
      </x:c>
      <x:c r="B53" s="40" t="str">
        <x:v>Challenges, Tasks &amp; Games</x:v>
      </x:c>
      <x:c r="C53" s="40" t="str">
        <x:v>Parent-child/family games library</x:v>
      </x:c>
      <x:c r="D53" s="40" t="str">
        <x:v>Complete</x:v>
      </x:c>
      <x:c r="E53" s="40" t="str">
        <x:v>Complete</x:v>
      </x:c>
      <x:c r="F53" s="40" t="str">
        <x:v>N/A</x:v>
      </x:c>
      <x:c r="G53" s="40" t="str">
        <x:v>Complete</x:v>
      </x:c>
      <x:c r="H53" s="40" t="str">
        <x:v>Partial</x:v>
      </x:c>
      <x:c r="I53" s="40" t="str">
        <x:v>Not verified</x:v>
      </x:c>
      <x:c r="J53" s="40" t="str">
        <x:v>Missing</x:v>
      </x:c>
      <x:c r="K53" s="40" t="str">
        <x:v>Main</x:v>
      </x:c>
      <x:c r="L53" s="40" t="str">
        <x:v>Partial</x:v>
      </x:c>
      <x:c r="M53" s="40" t="str">
        <x:v>P2</x:v>
      </x:c>
      <x:c r="N53" s="41" t="n">
        <x:f>IF((7-COUNTIF(D53:J53,"N/A"))=0,0,(COUNTIF(D53:J53,"Complete")+0.5*COUNTIF(D53:J53,"Partial")+0.4*COUNTIF(D53:J53,"Open PR")+0.25*COUNTIF(D53:J53,"Not verified"))/(7-COUNTIF(D53:J53,"N/A")))</x:f>
        <x:v>0.625</x:v>
      </x:c>
      <x:c r="O53" s="40" t="str">
        <x:v>Reconcile desired ~150-game bank with 120 JSON assets and interaction-assessment metadata</x:v>
      </x:c>
      <x:c r="P53" s="40" t="str">
        <x:v>Repository summary records 120 game JSON assets.</x:v>
      </x:c>
      <x:c r="Q53" s="40" t="str">
        <x:v>https://github.com/kmwstudy88-ship-it/SafeStepsApp/blob/main/docs/SAFESTEPS_FULL_SYSTEM_SUMMARY_2026-07-15.md</x:v>
      </x:c>
    </x:row>
    <x:row r="54">
      <x:c r="A54" s="36" t="str">
        <x:v>ENG-005</x:v>
      </x:c>
      <x:c r="B54" s="40" t="str">
        <x:v>Challenges, Tasks &amp; Games</x:v>
      </x:c>
      <x:c r="C54" s="40" t="str">
        <x:v>Multiplayer games route</x:v>
      </x:c>
      <x:c r="D54" s="40" t="str">
        <x:v>Complete</x:v>
      </x:c>
      <x:c r="E54" s="40" t="str">
        <x:v>Complete</x:v>
      </x:c>
      <x:c r="F54" s="40" t="str">
        <x:v>Partial</x:v>
      </x:c>
      <x:c r="G54" s="40" t="str">
        <x:v>Complete</x:v>
      </x:c>
      <x:c r="H54" s="40" t="str">
        <x:v>Partial</x:v>
      </x:c>
      <x:c r="I54" s="40" t="str">
        <x:v>Not verified</x:v>
      </x:c>
      <x:c r="J54" s="40" t="str">
        <x:v>Missing</x:v>
      </x:c>
      <x:c r="K54" s="40" t="str">
        <x:v>Main</x:v>
      </x:c>
      <x:c r="L54" s="40" t="str">
        <x:v>Partial</x:v>
      </x:c>
      <x:c r="M54" s="40" t="str">
        <x:v>P2</x:v>
      </x:c>
      <x:c r="N54" s="41" t="n">
        <x:f>IF((7-COUNTIF(D54:J54,"N/A"))=0,0,(COUNTIF(D54:J54,"Complete")+0.5*COUNTIF(D54:J54,"Partial")+0.4*COUNTIF(D54:J54,"Open PR")+0.25*COUNTIF(D54:J54,"Not verified"))/(7-COUNTIF(D54:J54,"N/A")))</x:f>
        <x:v>0.6071428571428571</x:v>
      </x:c>
      <x:c r="O54" s="40" t="str">
        <x:v>Test 2+ player sessions, disconnect/rejoin and data capture</x:v>
      </x:c>
      <x:c r="P54" s="40" t="str">
        <x:v>Multiplayer route exists.</x:v>
      </x:c>
      <x:c r="Q54" s="40" t="str">
        <x:v>https://github.com/kmwstudy88-ship-it/SafeStepsApp/blob/main/docs/SAFESTEPS_FULL_SYSTEM_SUMMARY_2026-07-15.md</x:v>
      </x:c>
    </x:row>
    <x:row r="55">
      <x:c r="A55" s="36" t="str">
        <x:v>ENG-006</x:v>
      </x:c>
      <x:c r="B55" s="40" t="str">
        <x:v>Challenges, Tasks &amp; Games</x:v>
      </x:c>
      <x:c r="C55" s="40" t="str">
        <x:v>Games as interaction/bonding assessment evidence</x:v>
      </x:c>
      <x:c r="D55" s="40" t="str">
        <x:v>Complete</x:v>
      </x:c>
      <x:c r="E55" s="40" t="str">
        <x:v>Partial</x:v>
      </x:c>
      <x:c r="F55" s="40" t="str">
        <x:v>Partial</x:v>
      </x:c>
      <x:c r="G55" s="40" t="str">
        <x:v>Partial</x:v>
      </x:c>
      <x:c r="H55" s="40" t="str">
        <x:v>Partial</x:v>
      </x:c>
      <x:c r="I55" s="40" t="str">
        <x:v>Not verified</x:v>
      </x:c>
      <x:c r="J55" s="40" t="str">
        <x:v>Missing</x:v>
      </x:c>
      <x:c r="K55" s="40" t="str">
        <x:v>Main</x:v>
      </x:c>
      <x:c r="L55" s="40" t="str">
        <x:v>Partial</x:v>
      </x:c>
      <x:c r="M55" s="40" t="str">
        <x:v>P2</x:v>
      </x:c>
      <x:c r="N55" s="41" t="n">
        <x:f>IF((7-COUNTIF(D55:J55,"N/A"))=0,0,(COUNTIF(D55:J55,"Complete")+0.5*COUNTIF(D55:J55,"Partial")+0.4*COUNTIF(D55:J55,"Open PR")+0.25*COUNTIF(D55:J55,"Not verified"))/(7-COUNTIF(D55:J55,"N/A")))</x:f>
        <x:v>0.4642857142857143</x:v>
      </x:c>
      <x:c r="O55" s="40" t="str">
        <x:v>Finish observation/scoring schema separate from curriculum</x:v>
      </x:c>
      <x:c r="P55" s="40" t="str">
        <x:v>Games exist; assessment use needs stronger end-to-end verification.</x:v>
      </x:c>
      <x:c r="Q55" s="40" t="str">
        <x:v>https://github.com/kmwstudy88-ship-it/SafeStepsApp/blob/main/docs/SAFESTEPS_FULL_SYSTEM_SUMMARY_2026-07-15.md</x:v>
      </x:c>
    </x:row>
    <x:row r="56">
      <x:c r="A56" s="36" t="str">
        <x:v>ASM-001</x:v>
      </x:c>
      <x:c r="B56" s="40" t="str">
        <x:v>Assessments</x:v>
      </x:c>
      <x:c r="C56" s="40" t="str">
        <x:v>Assessment metadata/data model</x:v>
      </x:c>
      <x:c r="D56" s="40" t="str">
        <x:v>Complete</x:v>
      </x:c>
      <x:c r="E56" s="40" t="str">
        <x:v>Complete</x:v>
      </x:c>
      <x:c r="F56" s="40" t="str">
        <x:v>Complete</x:v>
      </x:c>
      <x:c r="G56" s="40" t="str">
        <x:v>Partial</x:v>
      </x:c>
      <x:c r="H56" s="40" t="str">
        <x:v>Complete</x:v>
      </x:c>
      <x:c r="I56" s="40" t="str">
        <x:v>Complete</x:v>
      </x:c>
      <x:c r="J56" s="40" t="str">
        <x:v>Partial</x:v>
      </x:c>
      <x:c r="K56" s="40" t="str">
        <x:v>Main</x:v>
      </x:c>
      <x:c r="L56" s="40" t="str">
        <x:v>Substantial</x:v>
      </x:c>
      <x:c r="M56" s="40" t="str">
        <x:v>P1</x:v>
      </x:c>
      <x:c r="N56" s="41" t="n">
        <x:f>IF((7-COUNTIF(D56:J56,"N/A"))=0,0,(COUNTIF(D56:J56,"Complete")+0.5*COUNTIF(D56:J56,"Partial")+0.4*COUNTIF(D56:J56,"Open PR")+0.25*COUNTIF(D56:J56,"Not verified"))/(7-COUNTIF(D56:J56,"N/A")))</x:f>
        <x:v>0.8571428571428571</x:v>
      </x:c>
      <x:c r="O56" s="40" t="str">
        <x:v>Verify all migrations applied to production Supabase</x:v>
      </x:c>
      <x:c r="P56" s="40" t="str">
        <x:v>Large metadata-driven assessment schema exists.</x:v>
      </x:c>
      <x:c r="Q56" s="40" t="str">
        <x:v>https://github.com/kmwstudy88-ship-it/SafeStepsApp/blob/main/supabase/migrations/20260701225859_assessment_data_model.sql</x:v>
      </x:c>
    </x:row>
    <x:row r="57">
      <x:c r="A57" s="36" t="str">
        <x:v>ASM-002</x:v>
      </x:c>
      <x:c r="B57" s="40" t="str">
        <x:v>Assessments</x:v>
      </x:c>
      <x:c r="C57" s="40" t="str">
        <x:v>Weighted assessment scoring engine</x:v>
      </x:c>
      <x:c r="D57" s="40" t="str">
        <x:v>Complete</x:v>
      </x:c>
      <x:c r="E57" s="40" t="str">
        <x:v>Complete</x:v>
      </x:c>
      <x:c r="F57" s="40" t="str">
        <x:v>Complete</x:v>
      </x:c>
      <x:c r="G57" s="40" t="str">
        <x:v>Complete</x:v>
      </x:c>
      <x:c r="H57" s="40" t="str">
        <x:v>Complete</x:v>
      </x:c>
      <x:c r="I57" s="40" t="str">
        <x:v>Complete</x:v>
      </x:c>
      <x:c r="J57" s="40" t="str">
        <x:v>Partial</x:v>
      </x:c>
      <x:c r="K57" s="40" t="str">
        <x:v>Main</x:v>
      </x:c>
      <x:c r="L57" s="40" t="str">
        <x:v>Substantial</x:v>
      </x:c>
      <x:c r="M57" s="40" t="str">
        <x:v>P1</x:v>
      </x:c>
      <x:c r="N57" s="41" t="n">
        <x:f>IF((7-COUNTIF(D57:J57,"N/A"))=0,0,(COUNTIF(D57:J57,"Complete")+0.5*COUNTIF(D57:J57,"Partial")+0.4*COUNTIF(D57:J57,"Open PR")+0.25*COUNTIF(D57:J57,"Not verified"))/(7-COUNTIF(D57:J57,"N/A")))</x:f>
        <x:v>0.9285714285714286</x:v>
      </x:c>
      <x:c r="O57" s="40" t="str">
        <x:v>Validate with clinically reviewed test cases</x:v>
      </x:c>
      <x:c r="P57" s="40" t="str">
        <x:v>Scoring engine documented.</x:v>
      </x:c>
      <x:c r="Q57" s="40" t="str">
        <x:v>https://github.com/kmwstudy88-ship-it/SafeStepsApp/blob/main/docs/SAFESTEPS_FULL_SYSTEM_SUMMARY_2026-07-15.md</x:v>
      </x:c>
    </x:row>
    <x:row r="58">
      <x:c r="A58" s="36" t="str">
        <x:v>ASM-003</x:v>
      </x:c>
      <x:c r="B58" s="40" t="str">
        <x:v>Assessments</x:v>
      </x:c>
      <x:c r="C58" s="40" t="str">
        <x:v>Critical safety overrides</x:v>
      </x:c>
      <x:c r="D58" s="40" t="str">
        <x:v>Complete</x:v>
      </x:c>
      <x:c r="E58" s="40" t="str">
        <x:v>Complete</x:v>
      </x:c>
      <x:c r="F58" s="40" t="str">
        <x:v>Complete</x:v>
      </x:c>
      <x:c r="G58" s="40" t="str">
        <x:v>Complete</x:v>
      </x:c>
      <x:c r="H58" s="40" t="str">
        <x:v>Complete</x:v>
      </x:c>
      <x:c r="I58" s="40" t="str">
        <x:v>Complete</x:v>
      </x:c>
      <x:c r="J58" s="40" t="str">
        <x:v>Partial</x:v>
      </x:c>
      <x:c r="K58" s="40" t="str">
        <x:v>Main</x:v>
      </x:c>
      <x:c r="L58" s="40" t="str">
        <x:v>Substantial</x:v>
      </x:c>
      <x:c r="M58" s="40" t="str">
        <x:v>P1</x:v>
      </x:c>
      <x:c r="N58" s="41" t="n">
        <x:f>IF((7-COUNTIF(D58:J58,"N/A"))=0,0,(COUNTIF(D58:J58,"Complete")+0.5*COUNTIF(D58:J58,"Partial")+0.4*COUNTIF(D58:J58,"Open PR")+0.25*COUNTIF(D58:J58,"Not verified"))/(7-COUNTIF(D58:J58,"N/A")))</x:f>
        <x:v>0.9285714285714286</x:v>
      </x:c>
      <x:c r="O58" s="40" t="str">
        <x:v>Verify overrides cannot be hidden/superseded improperly</x:v>
      </x:c>
      <x:c r="P58" s="40" t="str">
        <x:v>Critical override logic and tables exist.</x:v>
      </x:c>
      <x:c r="Q58" s="40" t="str">
        <x:v>https://github.com/kmwstudy88-ship-it/SafeStepsApp/blob/main/docs/SAFESTEPS_DOT_POINT_FEATURE_INVENTORY_2026-07-15.md</x:v>
      </x:c>
    </x:row>
    <x:row r="59">
      <x:c r="A59" s="36" t="str">
        <x:v>ASM-004</x:v>
      </x:c>
      <x:c r="B59" s="40" t="str">
        <x:v>Assessments</x:v>
      </x:c>
      <x:c r="C59" s="40" t="str">
        <x:v>Assessment records history</x:v>
      </x:c>
      <x:c r="D59" s="40" t="str">
        <x:v>Complete</x:v>
      </x:c>
      <x:c r="E59" s="40" t="str">
        <x:v>Complete</x:v>
      </x:c>
      <x:c r="F59" s="40" t="str">
        <x:v>Complete</x:v>
      </x:c>
      <x:c r="G59" s="40" t="str">
        <x:v>Complete</x:v>
      </x:c>
      <x:c r="H59" s="40" t="str">
        <x:v>Partial</x:v>
      </x:c>
      <x:c r="I59" s="40" t="str">
        <x:v>Complete</x:v>
      </x:c>
      <x:c r="J59" s="40" t="str">
        <x:v>Partial</x:v>
      </x:c>
      <x:c r="K59" s="40" t="str">
        <x:v>Main</x:v>
      </x:c>
      <x:c r="L59" s="40" t="str">
        <x:v>Substantial</x:v>
      </x:c>
      <x:c r="M59" s="40" t="str">
        <x:v>P1</x:v>
      </x:c>
      <x:c r="N59" s="41" t="n">
        <x:f>IF((7-COUNTIF(D59:J59,"N/A"))=0,0,(COUNTIF(D59:J59,"Complete")+0.5*COUNTIF(D59:J59,"Partial")+0.4*COUNTIF(D59:J59,"Open PR")+0.25*COUNTIF(D59:J59,"Not verified"))/(7-COUNTIF(D59:J59,"N/A")))</x:f>
        <x:v>0.8571428571428571</x:v>
      </x:c>
      <x:c r="O59" s="40" t="str">
        <x:v>Verify immutable history/superseded display in every UI</x:v>
      </x:c>
      <x:c r="P59" s="40" t="str">
        <x:v>Records and immutability migration exist.</x:v>
      </x:c>
      <x:c r="Q59" s="40" t="str">
        <x:v>https://github.com/kmwstudy88-ship-it/SafeStepsApp/blob/main/supabase/migrations/20260701225859_assessment_data_model.sql</x:v>
      </x:c>
    </x:row>
    <x:row r="60">
      <x:c r="A60" s="36" t="str">
        <x:v>ASM-005</x:v>
      </x:c>
      <x:c r="B60" s="40" t="str">
        <x:v>Assessments</x:v>
      </x:c>
      <x:c r="C60" s="40" t="str">
        <x:v>Assessment case setup</x:v>
      </x:c>
      <x:c r="D60" s="40" t="str">
        <x:v>Complete</x:v>
      </x:c>
      <x:c r="E60" s="40" t="str">
        <x:v>Complete</x:v>
      </x:c>
      <x:c r="F60" s="40" t="str">
        <x:v>Complete</x:v>
      </x:c>
      <x:c r="G60" s="40" t="str">
        <x:v>Complete</x:v>
      </x:c>
      <x:c r="H60" s="40" t="str">
        <x:v>Complete</x:v>
      </x:c>
      <x:c r="I60" s="40" t="str">
        <x:v>Complete</x:v>
      </x:c>
      <x:c r="J60" s="40" t="str">
        <x:v>Partial</x:v>
      </x:c>
      <x:c r="K60" s="40" t="str">
        <x:v>Main</x:v>
      </x:c>
      <x:c r="L60" s="40" t="str">
        <x:v>Substantial</x:v>
      </x:c>
      <x:c r="M60" s="40" t="str">
        <x:v>P1</x:v>
      </x:c>
      <x:c r="N60" s="41" t="n">
        <x:f>IF((7-COUNTIF(D60:J60,"N/A"))=0,0,(COUNTIF(D60:J60,"Complete")+0.5*COUNTIF(D60:J60,"Partial")+0.4*COUNTIF(D60:J60,"Open PR")+0.25*COUNTIF(D60:J60,"Not verified"))/(7-COUNTIF(D60:J60,"N/A")))</x:f>
        <x:v>0.9285714285714286</x:v>
      </x:c>
      <x:c r="O60" s="40" t="str">
        <x:v>Test worker case setup against multiple families</x:v>
      </x:c>
      <x:c r="P60" s="40" t="str">
        <x:v>Screen and engine exist.</x:v>
      </x:c>
      <x:c r="Q60" s="40" t="str">
        <x:v>https://github.com/kmwstudy88-ship-it/SafeStepsApp/blob/main/docs/SAFESTEPS_FULL_SYSTEM_SUMMARY_2026-07-15.md</x:v>
      </x:c>
    </x:row>
    <x:row r="61">
      <x:c r="A61" s="36" t="str">
        <x:v>ASM-006</x:v>
      </x:c>
      <x:c r="B61" s="40" t="str">
        <x:v>Assessments</x:v>
      </x:c>
      <x:c r="C61" s="40" t="str">
        <x:v>Parent identity/background assessment</x:v>
      </x:c>
      <x:c r="D61" s="40" t="str">
        <x:v>Complete</x:v>
      </x:c>
      <x:c r="E61" s="40" t="str">
        <x:v>Complete</x:v>
      </x:c>
      <x:c r="F61" s="40" t="str">
        <x:v>Complete</x:v>
      </x:c>
      <x:c r="G61" s="40" t="str">
        <x:v>Complete</x:v>
      </x:c>
      <x:c r="H61" s="40" t="str">
        <x:v>Partial</x:v>
      </x:c>
      <x:c r="I61" s="40" t="str">
        <x:v>Complete</x:v>
      </x:c>
      <x:c r="J61" s="40" t="str">
        <x:v>Partial</x:v>
      </x:c>
      <x:c r="K61" s="40" t="str">
        <x:v>Main</x:v>
      </x:c>
      <x:c r="L61" s="40" t="str">
        <x:v>Substantial</x:v>
      </x:c>
      <x:c r="M61" s="40" t="str">
        <x:v>P2</x:v>
      </x:c>
      <x:c r="N61" s="41" t="n">
        <x:f>IF((7-COUNTIF(D61:J61,"N/A"))=0,0,(COUNTIF(D61:J61,"Complete")+0.5*COUNTIF(D61:J61,"Partial")+0.4*COUNTIF(D61:J61,"Open PR")+0.25*COUNTIF(D61:J61,"Not verified"))/(7-COUNTIF(D61:J61,"N/A")))</x:f>
        <x:v>0.8571428571428571</x:v>
      </x:c>
      <x:c r="O61" s="40" t="str">
        <x:v>Complete reviewer workflow and reporting linkage</x:v>
      </x:c>
      <x:c r="P61" s="40" t="str">
        <x:v>Data and screen exist.</x:v>
      </x:c>
      <x:c r="Q61" s="40" t="str">
        <x:v>https://github.com/kmwstudy88-ship-it/SafeStepsApp/blob/main/docs/SAFESTEPS_DOT_POINT_FEATURE_INVENTORY_2026-07-15.md</x:v>
      </x:c>
    </x:row>
    <x:row r="62">
      <x:c r="A62" s="36" t="str">
        <x:v>ASM-007</x:v>
      </x:c>
      <x:c r="B62" s="40" t="str">
        <x:v>Assessments</x:v>
      </x:c>
      <x:c r="C62" s="40" t="str">
        <x:v>Parenting capacity assessment</x:v>
      </x:c>
      <x:c r="D62" s="40" t="str">
        <x:v>Complete</x:v>
      </x:c>
      <x:c r="E62" s="40" t="str">
        <x:v>Complete</x:v>
      </x:c>
      <x:c r="F62" s="40" t="str">
        <x:v>Complete</x:v>
      </x:c>
      <x:c r="G62" s="40" t="str">
        <x:v>Partial</x:v>
      </x:c>
      <x:c r="H62" s="40" t="str">
        <x:v>Partial</x:v>
      </x:c>
      <x:c r="I62" s="40" t="str">
        <x:v>Not verified</x:v>
      </x:c>
      <x:c r="J62" s="40" t="str">
        <x:v>Missing</x:v>
      </x:c>
      <x:c r="K62" s="40" t="str">
        <x:v>Main</x:v>
      </x:c>
      <x:c r="L62" s="40" t="str">
        <x:v>Partial</x:v>
      </x:c>
      <x:c r="M62" s="40" t="str">
        <x:v>P1</x:v>
      </x:c>
      <x:c r="N62" s="41" t="n">
        <x:f>IF((7-COUNTIF(D62:J62,"N/A"))=0,0,(COUNTIF(D62:J62,"Complete")+0.5*COUNTIF(D62:J62,"Partial")+0.4*COUNTIF(D62:J62,"Open PR")+0.25*COUNTIF(D62:J62,"Not verified"))/(7-COUNTIF(D62:J62,"N/A")))</x:f>
        <x:v>0.6071428571428571</x:v>
      </x:c>
      <x:c r="O62" s="40" t="str">
        <x:v>Confirm complete production instrument/workflow and qualified-review requirements</x:v>
      </x:c>
      <x:c r="P62" s="40" t="str">
        <x:v>Schema supports parenting capacity; user-requested integrated capacity intake needs full verification.</x:v>
      </x:c>
      <x:c r="Q62" s="40" t="str">
        <x:v>https://github.com/kmwstudy88-ship-it/SafeStepsApp/blob/main/supabase/migrations/20260701225859_assessment_data_model.sql</x:v>
      </x:c>
    </x:row>
    <x:row r="63">
      <x:c r="A63" s="36" t="str">
        <x:v>ASM-008</x:v>
      </x:c>
      <x:c r="B63" s="40" t="str">
        <x:v>Assessments</x:v>
      </x:c>
      <x:c r="C63" s="40" t="str">
        <x:v>Drug &amp; alcohol evaluation</x:v>
      </x:c>
      <x:c r="D63" s="40" t="str">
        <x:v>Complete</x:v>
      </x:c>
      <x:c r="E63" s="40" t="str">
        <x:v>Complete</x:v>
      </x:c>
      <x:c r="F63" s="40" t="str">
        <x:v>Complete</x:v>
      </x:c>
      <x:c r="G63" s="40" t="str">
        <x:v>Partial</x:v>
      </x:c>
      <x:c r="H63" s="40" t="str">
        <x:v>Partial</x:v>
      </x:c>
      <x:c r="I63" s="40" t="str">
        <x:v>Not verified</x:v>
      </x:c>
      <x:c r="J63" s="40" t="str">
        <x:v>Missing</x:v>
      </x:c>
      <x:c r="K63" s="40" t="str">
        <x:v>Main</x:v>
      </x:c>
      <x:c r="L63" s="40" t="str">
        <x:v>Partial</x:v>
      </x:c>
      <x:c r="M63" s="40" t="str">
        <x:v>P1</x:v>
      </x:c>
      <x:c r="N63" s="41" t="n">
        <x:f>IF((7-COUNTIF(D63:J63,"N/A"))=0,0,(COUNTIF(D63:J63,"Complete")+0.5*COUNTIF(D63:J63,"Partial")+0.4*COUNTIF(D63:J63,"Open PR")+0.25*COUNTIF(D63:J63,"Not verified"))/(7-COUNTIF(D63:J63,"N/A")))</x:f>
        <x:v>0.6071428571428571</x:v>
      </x:c>
      <x:c r="O63" s="40" t="str">
        <x:v>Verify app-native tools vs licensed/external results and review policy</x:v>
      </x:c>
      <x:c r="P63" s="40" t="str">
        <x:v>Assessment model supports substance-use instruments.</x:v>
      </x:c>
      <x:c r="Q63" s="40" t="str">
        <x:v>https://github.com/kmwstudy88-ship-it/SafeStepsApp/blob/main/supabase/migrations/20260701225859_assessment_data_model.sql</x:v>
      </x:c>
    </x:row>
    <x:row r="64">
      <x:c r="A64" s="36" t="str">
        <x:v>ASM-009</x:v>
      </x:c>
      <x:c r="B64" s="40" t="str">
        <x:v>Assessments</x:v>
      </x:c>
      <x:c r="C64" s="40" t="str">
        <x:v>Mental health evaluation</x:v>
      </x:c>
      <x:c r="D64" s="40" t="str">
        <x:v>Complete</x:v>
      </x:c>
      <x:c r="E64" s="40" t="str">
        <x:v>Complete</x:v>
      </x:c>
      <x:c r="F64" s="40" t="str">
        <x:v>Complete</x:v>
      </x:c>
      <x:c r="G64" s="40" t="str">
        <x:v>Partial</x:v>
      </x:c>
      <x:c r="H64" s="40" t="str">
        <x:v>Partial</x:v>
      </x:c>
      <x:c r="I64" s="40" t="str">
        <x:v>Not verified</x:v>
      </x:c>
      <x:c r="J64" s="40" t="str">
        <x:v>Missing</x:v>
      </x:c>
      <x:c r="K64" s="40" t="str">
        <x:v>Main</x:v>
      </x:c>
      <x:c r="L64" s="40" t="str">
        <x:v>Partial</x:v>
      </x:c>
      <x:c r="M64" s="40" t="str">
        <x:v>P1</x:v>
      </x:c>
      <x:c r="N64" s="41" t="n">
        <x:f>IF((7-COUNTIF(D64:J64,"N/A"))=0,0,(COUNTIF(D64:J64,"Complete")+0.5*COUNTIF(D64:J64,"Partial")+0.4*COUNTIF(D64:J64,"Open PR")+0.25*COUNTIF(D64:J64,"Not verified"))/(7-COUNTIF(D64:J64,"N/A")))</x:f>
        <x:v>0.6071428571428571</x:v>
      </x:c>
      <x:c r="O64" s="40" t="str">
        <x:v>Verify app-native tools, thresholds and clinical escalation rules</x:v>
      </x:c>
      <x:c r="P64" s="40" t="str">
        <x:v>Assessment model supports mental-health instruments.</x:v>
      </x:c>
      <x:c r="Q64" s="40" t="str">
        <x:v>https://github.com/kmwstudy88-ship-it/SafeStepsApp/blob/main/supabase/migrations/20260701225859_assessment_data_model.sql</x:v>
      </x:c>
    </x:row>
    <x:row r="65">
      <x:c r="A65" s="36" t="str">
        <x:v>ASM-010</x:v>
      </x:c>
      <x:c r="B65" s="40" t="str">
        <x:v>Assessments</x:v>
      </x:c>
      <x:c r="C65" s="40" t="str">
        <x:v>Child development capacity assessment</x:v>
      </x:c>
      <x:c r="D65" s="40" t="str">
        <x:v>Complete</x:v>
      </x:c>
      <x:c r="E65" s="40" t="str">
        <x:v>Complete</x:v>
      </x:c>
      <x:c r="F65" s="40" t="str">
        <x:v>Complete</x:v>
      </x:c>
      <x:c r="G65" s="40" t="str">
        <x:v>Complete</x:v>
      </x:c>
      <x:c r="H65" s="40" t="str">
        <x:v>Complete</x:v>
      </x:c>
      <x:c r="I65" s="40" t="str">
        <x:v>Complete</x:v>
      </x:c>
      <x:c r="J65" s="40" t="str">
        <x:v>Partial</x:v>
      </x:c>
      <x:c r="K65" s="40" t="str">
        <x:v>Main</x:v>
      </x:c>
      <x:c r="L65" s="40" t="str">
        <x:v>Substantial</x:v>
      </x:c>
      <x:c r="M65" s="40" t="str">
        <x:v>P1</x:v>
      </x:c>
      <x:c r="N65" s="41" t="n">
        <x:f>IF((7-COUNTIF(D65:J65,"N/A"))=0,0,(COUNTIF(D65:J65,"Complete")+0.5*COUNTIF(D65:J65,"Partial")+0.4*COUNTIF(D65:J65,"Open PR")+0.25*COUNTIF(D65:J65,"Not verified"))/(7-COUNTIF(D65:J65,"N/A")))</x:f>
        <x:v>0.9285714285714286</x:v>
      </x:c>
      <x:c r="O65" s="40" t="str">
        <x:v>Clinical/safeguarding review and real case QA</x:v>
      </x:c>
      <x:c r="P65" s="40" t="str">
        <x:v>Assessment engine/data/screens documented.</x:v>
      </x:c>
      <x:c r="Q65" s="40" t="str">
        <x:v>https://github.com/kmwstudy88-ship-it/SafeStepsApp/blob/main/docs/SAFESTEPS_DOT_POINT_FEATURE_INVENTORY_2026-07-15.md</x:v>
      </x:c>
    </x:row>
    <x:row r="66">
      <x:c r="A66" s="36" t="str">
        <x:v>ASM-011</x:v>
      </x:c>
      <x:c r="B66" s="40" t="str">
        <x:v>Assessments</x:v>
      </x:c>
      <x:c r="C66" s="40" t="str">
        <x:v>Rubric scoring UI</x:v>
      </x:c>
      <x:c r="D66" s="40" t="str">
        <x:v>Complete</x:v>
      </x:c>
      <x:c r="E66" s="40" t="str">
        <x:v>Complete</x:v>
      </x:c>
      <x:c r="F66" s="40" t="str">
        <x:v>Complete</x:v>
      </x:c>
      <x:c r="G66" s="40" t="str">
        <x:v>Complete</x:v>
      </x:c>
      <x:c r="H66" s="40" t="str">
        <x:v>Partial</x:v>
      </x:c>
      <x:c r="I66" s="40" t="str">
        <x:v>Complete</x:v>
      </x:c>
      <x:c r="J66" s="40" t="str">
        <x:v>Partial</x:v>
      </x:c>
      <x:c r="K66" s="40" t="str">
        <x:v>Main</x:v>
      </x:c>
      <x:c r="L66" s="40" t="str">
        <x:v>Substantial</x:v>
      </x:c>
      <x:c r="M66" s="40" t="str">
        <x:v>P1</x:v>
      </x:c>
      <x:c r="N66" s="41" t="n">
        <x:f>IF((7-COUNTIF(D66:J66,"N/A"))=0,0,(COUNTIF(D66:J66,"Complete")+0.5*COUNTIF(D66:J66,"Partial")+0.4*COUNTIF(D66:J66,"Open PR")+0.25*COUNTIF(D66:J66,"Not verified"))/(7-COUNTIF(D66:J66,"N/A")))</x:f>
        <x:v>0.8571428571428571</x:v>
      </x:c>
      <x:c r="O66" s="40" t="str">
        <x:v>Bind every preview to reviewed live records</x:v>
      </x:c>
      <x:c r="P66" s="40" t="str">
        <x:v>Rubric screen exists; earlier baseline noted preview/live gaps.</x:v>
      </x:c>
      <x:c r="Q66" s="40" t="str">
        <x:v>https://github.com/kmwstudy88-ship-it/SafeStepsApp/blob/main/docs/PRODUCTION_READY_BASELINE_2026-07-15.md</x:v>
      </x:c>
    </x:row>
    <x:row r="67">
      <x:c r="A67" s="36" t="str">
        <x:v>ASM-012</x:v>
      </x:c>
      <x:c r="B67" s="40" t="str">
        <x:v>Assessments</x:v>
      </x:c>
      <x:c r="C67" s="40" t="str">
        <x:v>Contradiction/inconsistency log</x:v>
      </x:c>
      <x:c r="D67" s="40" t="str">
        <x:v>Complete</x:v>
      </x:c>
      <x:c r="E67" s="40" t="str">
        <x:v>Complete</x:v>
      </x:c>
      <x:c r="F67" s="40" t="str">
        <x:v>Complete</x:v>
      </x:c>
      <x:c r="G67" s="40" t="str">
        <x:v>Partial</x:v>
      </x:c>
      <x:c r="H67" s="40" t="str">
        <x:v>Partial</x:v>
      </x:c>
      <x:c r="I67" s="40" t="str">
        <x:v>Not verified</x:v>
      </x:c>
      <x:c r="J67" s="40" t="str">
        <x:v>Missing</x:v>
      </x:c>
      <x:c r="K67" s="40" t="str">
        <x:v>Main</x:v>
      </x:c>
      <x:c r="L67" s="40" t="str">
        <x:v>Partial</x:v>
      </x:c>
      <x:c r="M67" s="40" t="str">
        <x:v>P1</x:v>
      </x:c>
      <x:c r="N67" s="41" t="n">
        <x:f>IF((7-COUNTIF(D67:J67,"N/A"))=0,0,(COUNTIF(D67:J67,"Complete")+0.5*COUNTIF(D67:J67,"Partial")+0.4*COUNTIF(D67:J67,"Open PR")+0.25*COUNTIF(D67:J67,"Not verified"))/(7-COUNTIF(D67:J67,"N/A")))</x:f>
        <x:v>0.6071428571428571</x:v>
      </x:c>
      <x:c r="O67" s="40" t="str">
        <x:v>Finish worker form, neutral language, review/resolution lifecycle</x:v>
      </x:c>
      <x:c r="P67" s="40" t="str">
        <x:v>Table and framework exist.</x:v>
      </x:c>
      <x:c r="Q67" s="40" t="str">
        <x:v>https://github.com/kmwstudy88-ship-it/SafeStepsApp/blob/main/supabase/migrations/20260701225859_assessment_data_model.sql</x:v>
      </x:c>
    </x:row>
    <x:row r="68">
      <x:c r="A68" s="36" t="str">
        <x:v>ASM-013</x:v>
      </x:c>
      <x:c r="B68" s="40" t="str">
        <x:v>Assessments</x:v>
      </x:c>
      <x:c r="C68" s="40" t="str">
        <x:v>Collateral reports</x:v>
      </x:c>
      <x:c r="D68" s="40" t="str">
        <x:v>Complete</x:v>
      </x:c>
      <x:c r="E68" s="40" t="str">
        <x:v>Complete</x:v>
      </x:c>
      <x:c r="F68" s="40" t="str">
        <x:v>Complete</x:v>
      </x:c>
      <x:c r="G68" s="40" t="str">
        <x:v>Partial</x:v>
      </x:c>
      <x:c r="H68" s="40" t="str">
        <x:v>Partial</x:v>
      </x:c>
      <x:c r="I68" s="40" t="str">
        <x:v>Not verified</x:v>
      </x:c>
      <x:c r="J68" s="40" t="str">
        <x:v>Missing</x:v>
      </x:c>
      <x:c r="K68" s="40" t="str">
        <x:v>Main</x:v>
      </x:c>
      <x:c r="L68" s="40" t="str">
        <x:v>Partial</x:v>
      </x:c>
      <x:c r="M68" s="40" t="str">
        <x:v>P1</x:v>
      </x:c>
      <x:c r="N68" s="41" t="n">
        <x:f>IF((7-COUNTIF(D68:J68,"N/A"))=0,0,(COUNTIF(D68:J68,"Complete")+0.5*COUNTIF(D68:J68,"Partial")+0.4*COUNTIF(D68:J68,"Open PR")+0.25*COUNTIF(D68:J68,"Not verified"))/(7-COUNTIF(D68:J68,"N/A")))</x:f>
        <x:v>0.6071428571428571</x:v>
      </x:c>
      <x:c r="O68" s="40" t="str">
        <x:v>Finish worker entry/upload/consent workflow</x:v>
      </x:c>
      <x:c r="P68" s="40" t="str">
        <x:v>Collateral table exists.</x:v>
      </x:c>
      <x:c r="Q68" s="40" t="str">
        <x:v>https://github.com/kmwstudy88-ship-it/SafeStepsApp/blob/main/supabase/migrations/20260701225859_assessment_data_model.sql</x:v>
      </x:c>
    </x:row>
    <x:row r="69">
      <x:c r="A69" s="36" t="str">
        <x:v>ASM-014</x:v>
      </x:c>
      <x:c r="B69" s="40" t="str">
        <x:v>Assessments</x:v>
      </x:c>
      <x:c r="C69" s="40" t="str">
        <x:v>Readiness index / longitudinal score trajectory</x:v>
      </x:c>
      <x:c r="D69" s="40" t="str">
        <x:v>Complete</x:v>
      </x:c>
      <x:c r="E69" s="40" t="str">
        <x:v>Complete</x:v>
      </x:c>
      <x:c r="F69" s="40" t="str">
        <x:v>Complete</x:v>
      </x:c>
      <x:c r="G69" s="40" t="str">
        <x:v>Complete</x:v>
      </x:c>
      <x:c r="H69" s="40" t="str">
        <x:v>Partial</x:v>
      </x:c>
      <x:c r="I69" s="40" t="str">
        <x:v>Complete</x:v>
      </x:c>
      <x:c r="J69" s="40" t="str">
        <x:v>Partial</x:v>
      </x:c>
      <x:c r="K69" s="40" t="str">
        <x:v>Main</x:v>
      </x:c>
      <x:c r="L69" s="40" t="str">
        <x:v>Substantial</x:v>
      </x:c>
      <x:c r="M69" s="40" t="str">
        <x:v>P1</x:v>
      </x:c>
      <x:c r="N69" s="41" t="n">
        <x:f>IF((7-COUNTIF(D69:J69,"N/A"))=0,0,(COUNTIF(D69:J69,"Complete")+0.5*COUNTIF(D69:J69,"Partial")+0.4*COUNTIF(D69:J69,"Open PR")+0.25*COUNTIF(D69:J69,"Not verified"))/(7-COUNTIF(D69:J69,"N/A")))</x:f>
        <x:v>0.8571428571428571</x:v>
      </x:c>
      <x:c r="O69" s="40" t="str">
        <x:v>Connect to live reviewed assessment/service/visit/milestone signals</x:v>
      </x:c>
      <x:c r="P69" s="40" t="str">
        <x:v>Readiness engines/tables/screens exist.</x:v>
      </x:c>
      <x:c r="Q69" s="40" t="str">
        <x:v>https://github.com/kmwstudy88-ship-it/SafeStepsApp/blob/main/docs/SAFESTEPS_FULL_SYSTEM_SUMMARY_2026-07-15.md</x:v>
      </x:c>
    </x:row>
    <x:row r="70">
      <x:c r="A70" s="36" t="str">
        <x:v>ASM-015</x:v>
      </x:c>
      <x:c r="B70" s="40" t="str">
        <x:v>Assessments</x:v>
      </x:c>
      <x:c r="C70" s="40" t="str">
        <x:v>Repeat/reassessment cycles</x:v>
      </x:c>
      <x:c r="D70" s="40" t="str">
        <x:v>Complete</x:v>
      </x:c>
      <x:c r="E70" s="40" t="str">
        <x:v>Complete</x:v>
      </x:c>
      <x:c r="F70" s="40" t="str">
        <x:v>Complete</x:v>
      </x:c>
      <x:c r="G70" s="40" t="str">
        <x:v>Partial</x:v>
      </x:c>
      <x:c r="H70" s="40" t="str">
        <x:v>Partial</x:v>
      </x:c>
      <x:c r="I70" s="40" t="str">
        <x:v>Not verified</x:v>
      </x:c>
      <x:c r="J70" s="40" t="str">
        <x:v>Missing</x:v>
      </x:c>
      <x:c r="K70" s="40" t="str">
        <x:v>Main</x:v>
      </x:c>
      <x:c r="L70" s="40" t="str">
        <x:v>Partial</x:v>
      </x:c>
      <x:c r="M70" s="40" t="str">
        <x:v>P1</x:v>
      </x:c>
      <x:c r="N70" s="41" t="n">
        <x:f>IF((7-COUNTIF(D70:J70,"N/A"))=0,0,(COUNTIF(D70:J70,"Complete")+0.5*COUNTIF(D70:J70,"Partial")+0.4*COUNTIF(D70:J70,"Open PR")+0.25*COUNTIF(D70:J70,"Not verified"))/(7-COUNTIF(D70:J70,"N/A")))</x:f>
        <x:v>0.6071428571428571</x:v>
      </x:c>
      <x:c r="O70" s="40" t="str">
        <x:v>Implement scheduled reassessment workflow and historical comparison UX</x:v>
      </x:c>
      <x:c r="P70" s="40" t="str">
        <x:v>Data model supports repeated immutable records; full cadence workflow not verified.</x:v>
      </x:c>
      <x:c r="Q70" s="40" t="str">
        <x:v>https://github.com/kmwstudy88-ship-it/SafeStepsApp/blob/main/supabase/migrations/20260701225859_assessment_data_model.sql</x:v>
      </x:c>
    </x:row>
    <x:row r="71">
      <x:c r="A71" s="36" t="str">
        <x:v>ASM-016</x:v>
      </x:c>
      <x:c r="B71" s="40" t="str">
        <x:v>Assessments</x:v>
      </x:c>
      <x:c r="C71" s="40" t="str">
        <x:v>Mandatory reviewer/supervisor sign-off</x:v>
      </x:c>
      <x:c r="D71" s="40" t="str">
        <x:v>Complete</x:v>
      </x:c>
      <x:c r="E71" s="40" t="str">
        <x:v>Partial</x:v>
      </x:c>
      <x:c r="F71" s="40" t="str">
        <x:v>Partial</x:v>
      </x:c>
      <x:c r="G71" s="40" t="str">
        <x:v>Partial</x:v>
      </x:c>
      <x:c r="H71" s="40" t="str">
        <x:v>Partial</x:v>
      </x:c>
      <x:c r="I71" s="40" t="str">
        <x:v>Not verified</x:v>
      </x:c>
      <x:c r="J71" s="40" t="str">
        <x:v>Missing</x:v>
      </x:c>
      <x:c r="K71" s="40" t="str">
        <x:v>Main</x:v>
      </x:c>
      <x:c r="L71" s="40" t="str">
        <x:v>Partial</x:v>
      </x:c>
      <x:c r="M71" s="40" t="str">
        <x:v>P1</x:v>
      </x:c>
      <x:c r="N71" s="41" t="n">
        <x:f>IF((7-COUNTIF(D71:J71,"N/A"))=0,0,(COUNTIF(D71:J71,"Complete")+0.5*COUNTIF(D71:J71,"Partial")+0.4*COUNTIF(D71:J71,"Open PR")+0.25*COUNTIF(D71:J71,"Not verified"))/(7-COUNTIF(D71:J71,"N/A")))</x:f>
        <x:v>0.4642857142857143</x:v>
      </x:c>
      <x:c r="O71" s="40" t="str">
        <x:v>Make sign-off mandatory before court/report use</x:v>
      </x:c>
      <x:c r="P71" s="40" t="str">
        <x:v>Repository explicitly lists sign-off as remaining work.</x:v>
      </x:c>
      <x:c r="Q71" s="40" t="str">
        <x:v>https://github.com/kmwstudy88-ship-it/SafeStepsApp/blob/main/docs/SAFESTEPS_DOT_POINT_FEATURE_INVENTORY_2026-07-15.md</x:v>
      </x:c>
    </x:row>
    <x:row r="72">
      <x:c r="A72" s="36" t="str">
        <x:v>EVD-001</x:v>
      </x:c>
      <x:c r="B72" s="40" t="str">
        <x:v>Evidence &amp; Proof of Change</x:v>
      </x:c>
      <x:c r="C72" s="40" t="str">
        <x:v>Evidence upload</x:v>
      </x:c>
      <x:c r="D72" s="40" t="str">
        <x:v>Complete</x:v>
      </x:c>
      <x:c r="E72" s="40" t="str">
        <x:v>Complete</x:v>
      </x:c>
      <x:c r="F72" s="40" t="str">
        <x:v>Complete</x:v>
      </x:c>
      <x:c r="G72" s="40" t="str">
        <x:v>Complete</x:v>
      </x:c>
      <x:c r="H72" s="40" t="str">
        <x:v>Complete</x:v>
      </x:c>
      <x:c r="I72" s="40" t="str">
        <x:v>Complete</x:v>
      </x:c>
      <x:c r="J72" s="40" t="str">
        <x:v>Partial</x:v>
      </x:c>
      <x:c r="K72" s="40" t="str">
        <x:v>Main</x:v>
      </x:c>
      <x:c r="L72" s="40" t="str">
        <x:v>Substantial</x:v>
      </x:c>
      <x:c r="M72" s="40" t="str">
        <x:v>P1</x:v>
      </x:c>
      <x:c r="N72" s="41" t="n">
        <x:f>IF((7-COUNTIF(D72:J72,"N/A"))=0,0,(COUNTIF(D72:J72,"Complete")+0.5*COUNTIF(D72:J72,"Partial")+0.4*COUNTIF(D72:J72,"Open PR")+0.25*COUNTIF(D72:J72,"Not verified"))/(7-COUNTIF(D72:J72,"N/A")))</x:f>
        <x:v>0.9285714285714286</x:v>
      </x:c>
      <x:c r="O72" s="40" t="str">
        <x:v>Device-test image/video/document uploads and permissions</x:v>
      </x:c>
      <x:c r="P72" s="40" t="str">
        <x:v>Evidence engine and upload routes exist.</x:v>
      </x:c>
      <x:c r="Q72" s="40" t="str">
        <x:v>https://github.com/kmwstudy88-ship-it/SafeStepsApp/blob/main/docs/SAFESTEPS_FULL_SYSTEM_SUMMARY_2026-07-15.md</x:v>
      </x:c>
    </x:row>
    <x:row r="73">
      <x:c r="A73" s="36" t="str">
        <x:v>EVD-002</x:v>
      </x:c>
      <x:c r="B73" s="40" t="str">
        <x:v>Evidence &amp; Proof of Change</x:v>
      </x:c>
      <x:c r="C73" s="40" t="str">
        <x:v>Daily evidence/check-ins</x:v>
      </x:c>
      <x:c r="D73" s="40" t="str">
        <x:v>Complete</x:v>
      </x:c>
      <x:c r="E73" s="40" t="str">
        <x:v>Complete</x:v>
      </x:c>
      <x:c r="F73" s="40" t="str">
        <x:v>Complete</x:v>
      </x:c>
      <x:c r="G73" s="40" t="str">
        <x:v>Complete</x:v>
      </x:c>
      <x:c r="H73" s="40" t="str">
        <x:v>Partial</x:v>
      </x:c>
      <x:c r="I73" s="40" t="str">
        <x:v>Not verified</x:v>
      </x:c>
      <x:c r="J73" s="40" t="str">
        <x:v>Missing</x:v>
      </x:c>
      <x:c r="K73" s="40" t="str">
        <x:v>Main</x:v>
      </x:c>
      <x:c r="L73" s="40" t="str">
        <x:v>Partial</x:v>
      </x:c>
      <x:c r="M73" s="40" t="str">
        <x:v>P1</x:v>
      </x:c>
      <x:c r="N73" s="41" t="n">
        <x:f>IF((7-COUNTIF(D73:J73,"N/A"))=0,0,(COUNTIF(D73:J73,"Complete")+0.5*COUNTIF(D73:J73,"Partial")+0.4*COUNTIF(D73:J73,"Open PR")+0.25*COUNTIF(D73:J73,"Not verified"))/(7-COUNTIF(D73:J73,"N/A")))</x:f>
        <x:v>0.6785714285714286</x:v>
      </x:c>
      <x:c r="O73" s="40" t="str">
        <x:v>Connect scoring/review workflow and test repeated submissions</x:v>
      </x:c>
      <x:c r="P73" s="40" t="str">
        <x:v>Daily evidence route exists.</x:v>
      </x:c>
      <x:c r="Q73" s="40" t="str">
        <x:v>https://github.com/kmwstudy88-ship-it/SafeStepsApp/blob/main/docs/SAFESTEPS_FULL_SYSTEM_SUMMARY_2026-07-15.md</x:v>
      </x:c>
    </x:row>
    <x:row r="74">
      <x:c r="A74" s="36" t="str">
        <x:v>EVD-003</x:v>
      </x:c>
      <x:c r="B74" s="40" t="str">
        <x:v>Evidence &amp; Proof of Change</x:v>
      </x:c>
      <x:c r="C74" s="40" t="str">
        <x:v>Offline evidence vault</x:v>
      </x:c>
      <x:c r="D74" s="40" t="str">
        <x:v>Complete</x:v>
      </x:c>
      <x:c r="E74" s="40" t="str">
        <x:v>Complete</x:v>
      </x:c>
      <x:c r="F74" s="40" t="str">
        <x:v>Partial</x:v>
      </x:c>
      <x:c r="G74" s="40" t="str">
        <x:v>Partial</x:v>
      </x:c>
      <x:c r="H74" s="40" t="str">
        <x:v>Complete</x:v>
      </x:c>
      <x:c r="I74" s="40" t="str">
        <x:v>Complete</x:v>
      </x:c>
      <x:c r="J74" s="40" t="str">
        <x:v>Partial</x:v>
      </x:c>
      <x:c r="K74" s="40" t="str">
        <x:v>Main</x:v>
      </x:c>
      <x:c r="L74" s="40" t="str">
        <x:v>Substantial</x:v>
      </x:c>
      <x:c r="M74" s="40" t="str">
        <x:v>P1</x:v>
      </x:c>
      <x:c r="N74" s="41" t="n">
        <x:f>IF((7-COUNTIF(D74:J74,"N/A"))=0,0,(COUNTIF(D74:J74,"Complete")+0.5*COUNTIF(D74:J74,"Partial")+0.4*COUNTIF(D74:J74,"Open PR")+0.25*COUNTIF(D74:J74,"Not verified"))/(7-COUNTIF(D74:J74,"N/A")))</x:f>
        <x:v>0.7857142857142857</x:v>
      </x:c>
      <x:c r="O74" s="40" t="str">
        <x:v>Test encryption/queue/recovery/sync failure on real devices</x:v>
      </x:c>
      <x:c r="P74" s="40" t="str">
        <x:v>Offline vault hashing/chain verification exists.</x:v>
      </x:c>
      <x:c r="Q74" s="40" t="str">
        <x:v>https://github.com/kmwstudy88-ship-it/SafeStepsApp/blob/main/docs/SAFESTEPS_FULL_SYSTEM_SUMMARY_2026-07-15.md</x:v>
      </x:c>
    </x:row>
    <x:row r="75">
      <x:c r="A75" s="36" t="str">
        <x:v>EVD-004</x:v>
      </x:c>
      <x:c r="B75" s="40" t="str">
        <x:v>Evidence &amp; Proof of Change</x:v>
      </x:c>
      <x:c r="C75" s="40" t="str">
        <x:v>Offline → online evidence sync</x:v>
      </x:c>
      <x:c r="D75" s="40" t="str">
        <x:v>Complete</x:v>
      </x:c>
      <x:c r="E75" s="40" t="str">
        <x:v>Complete</x:v>
      </x:c>
      <x:c r="F75" s="40" t="str">
        <x:v>Complete</x:v>
      </x:c>
      <x:c r="G75" s="40" t="str">
        <x:v>Partial</x:v>
      </x:c>
      <x:c r="H75" s="40" t="str">
        <x:v>Partial</x:v>
      </x:c>
      <x:c r="I75" s="40" t="str">
        <x:v>Complete</x:v>
      </x:c>
      <x:c r="J75" s="40" t="str">
        <x:v>Partial</x:v>
      </x:c>
      <x:c r="K75" s="40" t="str">
        <x:v>Main</x:v>
      </x:c>
      <x:c r="L75" s="40" t="str">
        <x:v>Substantial</x:v>
      </x:c>
      <x:c r="M75" s="40" t="str">
        <x:v>P1</x:v>
      </x:c>
      <x:c r="N75" s="41" t="n">
        <x:f>IF((7-COUNTIF(D75:J75,"N/A"))=0,0,(COUNTIF(D75:J75,"Complete")+0.5*COUNTIF(D75:J75,"Partial")+0.4*COUNTIF(D75:J75,"Open PR")+0.25*COUNTIF(D75:J75,"Not verified"))/(7-COUNTIF(D75:J75,"N/A")))</x:f>
        <x:v>0.7857142857142857</x:v>
      </x:c>
      <x:c r="O75" s="40" t="str">
        <x:v>Stress-test conflicts, retries and duplicate upload protection</x:v>
      </x:c>
      <x:c r="P75" s="40" t="str">
        <x:v>Pending sync functions documented.</x:v>
      </x:c>
      <x:c r="Q75" s="40" t="str">
        <x:v>https://github.com/kmwstudy88-ship-it/SafeStepsApp/blob/main/docs/SAFESTEPS_DOT_POINT_FEATURE_INVENTORY_2026-07-15.md</x:v>
      </x:c>
    </x:row>
    <x:row r="76">
      <x:c r="A76" s="36" t="str">
        <x:v>EVD-005</x:v>
      </x:c>
      <x:c r="B76" s="40" t="str">
        <x:v>Evidence &amp; Proof of Change</x:v>
      </x:c>
      <x:c r="C76" s="40" t="str">
        <x:v>Child evidence uploads</x:v>
      </x:c>
      <x:c r="D76" s="40" t="str">
        <x:v>Complete</x:v>
      </x:c>
      <x:c r="E76" s="40" t="str">
        <x:v>Complete</x:v>
      </x:c>
      <x:c r="F76" s="40" t="str">
        <x:v>Partial</x:v>
      </x:c>
      <x:c r="G76" s="40" t="str">
        <x:v>Complete</x:v>
      </x:c>
      <x:c r="H76" s="40" t="str">
        <x:v>Partial</x:v>
      </x:c>
      <x:c r="I76" s="40" t="str">
        <x:v>Not verified</x:v>
      </x:c>
      <x:c r="J76" s="40" t="str">
        <x:v>Missing</x:v>
      </x:c>
      <x:c r="K76" s="40" t="str">
        <x:v>Main</x:v>
      </x:c>
      <x:c r="L76" s="40" t="str">
        <x:v>Partial</x:v>
      </x:c>
      <x:c r="M76" s="40" t="str">
        <x:v>P1</x:v>
      </x:c>
      <x:c r="N76" s="41" t="n">
        <x:f>IF((7-COUNTIF(D76:J76,"N/A"))=0,0,(COUNTIF(D76:J76,"Complete")+0.5*COUNTIF(D76:J76,"Partial")+0.4*COUNTIF(D76:J76,"Open PR")+0.25*COUNTIF(D76:J76,"Not verified"))/(7-COUNTIF(D76:J76,"N/A")))</x:f>
        <x:v>0.6071428571428571</x:v>
      </x:c>
      <x:c r="O76" s="40" t="str">
        <x:v>Test child privacy, sharing consent and worker visibility</x:v>
      </x:c>
      <x:c r="P76" s="40" t="str">
        <x:v>Child evidence route exists.</x:v>
      </x:c>
      <x:c r="Q76" s="40" t="str">
        <x:v>https://github.com/kmwstudy88-ship-it/SafeStepsApp/blob/main/docs/SAFESTEPS_FULL_SYSTEM_SUMMARY_2026-07-15.md</x:v>
      </x:c>
    </x:row>
    <x:row r="77">
      <x:c r="A77" s="36" t="str">
        <x:v>EVD-006</x:v>
      </x:c>
      <x:c r="B77" s="40" t="str">
        <x:v>Evidence &amp; Proof of Change</x:v>
      </x:c>
      <x:c r="C77" s="40" t="str">
        <x:v>Assessment evidence uploads</x:v>
      </x:c>
      <x:c r="D77" s="40" t="str">
        <x:v>Complete</x:v>
      </x:c>
      <x:c r="E77" s="40" t="str">
        <x:v>Complete</x:v>
      </x:c>
      <x:c r="F77" s="40" t="str">
        <x:v>Complete</x:v>
      </x:c>
      <x:c r="G77" s="40" t="str">
        <x:v>Complete</x:v>
      </x:c>
      <x:c r="H77" s="40" t="str">
        <x:v>Partial</x:v>
      </x:c>
      <x:c r="I77" s="40" t="str">
        <x:v>Not verified</x:v>
      </x:c>
      <x:c r="J77" s="40" t="str">
        <x:v>Missing</x:v>
      </x:c>
      <x:c r="K77" s="40" t="str">
        <x:v>Main</x:v>
      </x:c>
      <x:c r="L77" s="40" t="str">
        <x:v>Partial</x:v>
      </x:c>
      <x:c r="M77" s="40" t="str">
        <x:v>P1</x:v>
      </x:c>
      <x:c r="N77" s="41" t="n">
        <x:f>IF((7-COUNTIF(D77:J77,"N/A"))=0,0,(COUNTIF(D77:J77,"Complete")+0.5*COUNTIF(D77:J77,"Partial")+0.4*COUNTIF(D77:J77,"Open PR")+0.25*COUNTIF(D77:J77,"Not verified"))/(7-COUNTIF(D77:J77,"N/A")))</x:f>
        <x:v>0.6785714285714286</x:v>
      </x:c>
      <x:c r="O77" s="40" t="str">
        <x:v>Link evidence to assessment records/report source citations</x:v>
      </x:c>
      <x:c r="P77" s="40" t="str">
        <x:v>Assessment evidence route exists.</x:v>
      </x:c>
      <x:c r="Q77" s="40" t="str">
        <x:v>https://github.com/kmwstudy88-ship-it/SafeStepsApp/blob/main/docs/SAFESTEPS_FULL_SYSTEM_SUMMARY_2026-07-15.md</x:v>
      </x:c>
    </x:row>
    <x:row r="78">
      <x:c r="A78" s="36" t="str">
        <x:v>EVD-007</x:v>
      </x:c>
      <x:c r="B78" s="40" t="str">
        <x:v>Evidence &amp; Proof of Change</x:v>
      </x:c>
      <x:c r="C78" s="40" t="str">
        <x:v>Document upload through backend API</x:v>
      </x:c>
      <x:c r="D78" s="40" t="str">
        <x:v>Complete</x:v>
      </x:c>
      <x:c r="E78" s="40" t="str">
        <x:v>Open PR</x:v>
      </x:c>
      <x:c r="F78" s="40" t="str">
        <x:v>Open PR</x:v>
      </x:c>
      <x:c r="G78" s="40" t="str">
        <x:v>Open PR</x:v>
      </x:c>
      <x:c r="H78" s="40" t="str">
        <x:v>Open PR</x:v>
      </x:c>
      <x:c r="I78" s="40" t="str">
        <x:v>Open PR</x:v>
      </x:c>
      <x:c r="J78" s="40" t="str">
        <x:v>Missing</x:v>
      </x:c>
      <x:c r="K78" s="40" t="str">
        <x:v>PR #19</x:v>
      </x:c>
      <x:c r="L78" s="40" t="str">
        <x:v>Built but unmerged</x:v>
      </x:c>
      <x:c r="M78" s="40" t="str">
        <x:v>P1</x:v>
      </x:c>
      <x:c r="N78" s="41" t="n">
        <x:f>IF((7-COUNTIF(D78:J78,"N/A"))=0,0,(COUNTIF(D78:J78,"Complete")+0.5*COUNTIF(D78:J78,"Partial")+0.4*COUNTIF(D78:J78,"Open PR")+0.25*COUNTIF(D78:J78,"Not verified"))/(7-COUNTIF(D78:J78,"N/A")))</x:f>
        <x:v>0.42857142857142855</x:v>
      </x:c>
      <x:c r="O78" s="40" t="str">
        <x:v>Merge PR #19 and deploy private evidence bucket integration</x:v>
      </x:c>
      <x:c r="P78" s="40" t="str">
        <x:v>Durable upload pipeline is in PR #19.</x:v>
      </x:c>
      <x:c r="Q78" s="40" t="str">
        <x:v>https://github.com/kmwstudy88-ship-it/SafeStepsApp/pull/19</x:v>
      </x:c>
    </x:row>
    <x:row r="79">
      <x:c r="A79" s="36" t="str">
        <x:v>EVD-008</x:v>
      </x:c>
      <x:c r="B79" s="40" t="str">
        <x:v>Evidence &amp; Proof of Change</x:v>
      </x:c>
      <x:c r="C79" s="40" t="str">
        <x:v>Document analysis persistence/retrieval</x:v>
      </x:c>
      <x:c r="D79" s="40" t="str">
        <x:v>Complete</x:v>
      </x:c>
      <x:c r="E79" s="40" t="str">
        <x:v>Open PR</x:v>
      </x:c>
      <x:c r="F79" s="40" t="str">
        <x:v>Open PR</x:v>
      </x:c>
      <x:c r="G79" s="40" t="str">
        <x:v>Open PR</x:v>
      </x:c>
      <x:c r="H79" s="40" t="str">
        <x:v>Open PR</x:v>
      </x:c>
      <x:c r="I79" s="40" t="str">
        <x:v>Open PR</x:v>
      </x:c>
      <x:c r="J79" s="40" t="str">
        <x:v>Missing</x:v>
      </x:c>
      <x:c r="K79" s="40" t="str">
        <x:v>PR #19</x:v>
      </x:c>
      <x:c r="L79" s="40" t="str">
        <x:v>Built but unmerged</x:v>
      </x:c>
      <x:c r="M79" s="40" t="str">
        <x:v>P1</x:v>
      </x:c>
      <x:c r="N79" s="41" t="n">
        <x:f>IF((7-COUNTIF(D79:J79,"N/A"))=0,0,(COUNTIF(D79:J79,"Complete")+0.5*COUNTIF(D79:J79,"Partial")+0.4*COUNTIF(D79:J79,"Open PR")+0.25*COUNTIF(D79:J79,"Not verified"))/(7-COUNTIF(D79:J79,"N/A")))</x:f>
        <x:v>0.42857142857142855</x:v>
      </x:c>
      <x:c r="O79" s="40" t="str">
        <x:v>Merge PR #19; apply migration; test analysis history</x:v>
      </x:c>
      <x:c r="P79" s="40" t="str">
        <x:v>Durable analysis runs/results are in PR #19.</x:v>
      </x:c>
      <x:c r="Q79" s="40" t="str">
        <x:v>https://github.com/kmwstudy88-ship-it/SafeStepsApp/pull/19</x:v>
      </x:c>
    </x:row>
    <x:row r="80">
      <x:c r="A80" s="36" t="str">
        <x:v>EVD-009</x:v>
      </x:c>
      <x:c r="B80" s="40" t="str">
        <x:v>Evidence &amp; Proof of Change</x:v>
      </x:c>
      <x:c r="C80" s="40" t="str">
        <x:v>Financial evidence tracking/scoring</x:v>
      </x:c>
      <x:c r="D80" s="40" t="str">
        <x:v>Complete</x:v>
      </x:c>
      <x:c r="E80" s="40" t="str">
        <x:v>Partial</x:v>
      </x:c>
      <x:c r="F80" s="40" t="str">
        <x:v>Partial</x:v>
      </x:c>
      <x:c r="G80" s="40" t="str">
        <x:v>Partial</x:v>
      </x:c>
      <x:c r="H80" s="40" t="str">
        <x:v>Partial</x:v>
      </x:c>
      <x:c r="I80" s="40" t="str">
        <x:v>Not verified</x:v>
      </x:c>
      <x:c r="J80" s="40" t="str">
        <x:v>Missing</x:v>
      </x:c>
      <x:c r="K80" s="40" t="str">
        <x:v>Main</x:v>
      </x:c>
      <x:c r="L80" s="40" t="str">
        <x:v>Partial</x:v>
      </x:c>
      <x:c r="M80" s="40" t="str">
        <x:v>P2</x:v>
      </x:c>
      <x:c r="N80" s="41" t="n">
        <x:f>IF((7-COUNTIF(D80:J80,"N/A"))=0,0,(COUNTIF(D80:J80,"Complete")+0.5*COUNTIF(D80:J80,"Partial")+0.4*COUNTIF(D80:J80,"Open PR")+0.25*COUNTIF(D80:J80,"Not verified"))/(7-COUNTIF(D80:J80,"N/A")))</x:f>
        <x:v>0.4642857142857143</x:v>
      </x:c>
      <x:c r="O80" s="40" t="str">
        <x:v>Complete bills/budget/purchases workflow and reporting</x:v>
      </x:c>
      <x:c r="P80" s="40" t="str">
        <x:v>Framework exists in master reconciliation; end-to-end implementation not verified.</x:v>
      </x:c>
      <x:c r="Q80" s="40" t="str">
        <x:v>https://github.com/kmwstudy88-ship-it/SafeStepsApp/blob/main/docs/SAFESTEPS_FULL_SYSTEM_SUMMARY_2026-07-15.md</x:v>
      </x:c>
    </x:row>
    <x:row r="81">
      <x:c r="A81" s="36" t="str">
        <x:v>EVD-010</x:v>
      </x:c>
      <x:c r="B81" s="40" t="str">
        <x:v>Evidence &amp; Proof of Change</x:v>
      </x:c>
      <x:c r="C81" s="40" t="str">
        <x:v>Photo/video home-condition review workflow</x:v>
      </x:c>
      <x:c r="D81" s="40" t="str">
        <x:v>Complete</x:v>
      </x:c>
      <x:c r="E81" s="40" t="str">
        <x:v>Partial</x:v>
      </x:c>
      <x:c r="F81" s="40" t="str">
        <x:v>Partial</x:v>
      </x:c>
      <x:c r="G81" s="40" t="str">
        <x:v>Partial</x:v>
      </x:c>
      <x:c r="H81" s="40" t="str">
        <x:v>Partial</x:v>
      </x:c>
      <x:c r="I81" s="40" t="str">
        <x:v>Not verified</x:v>
      </x:c>
      <x:c r="J81" s="40" t="str">
        <x:v>Missing</x:v>
      </x:c>
      <x:c r="K81" s="40" t="str">
        <x:v>Main</x:v>
      </x:c>
      <x:c r="L81" s="40" t="str">
        <x:v>Partial</x:v>
      </x:c>
      <x:c r="M81" s="40" t="str">
        <x:v>P2</x:v>
      </x:c>
      <x:c r="N81" s="41" t="n">
        <x:f>IF((7-COUNTIF(D81:J81,"N/A"))=0,0,(COUNTIF(D81:J81,"Complete")+0.5*COUNTIF(D81:J81,"Partial")+0.4*COUNTIF(D81:J81,"Open PR")+0.25*COUNTIF(D81:J81,"Not verified"))/(7-COUNTIF(D81:J81,"N/A")))</x:f>
        <x:v>0.4642857142857143</x:v>
      </x:c>
      <x:c r="O81" s="40" t="str">
        <x:v>Finish consent, metadata, worker review and lawful collection rules</x:v>
      </x:c>
      <x:c r="P81" s="40" t="str">
        <x:v>Daily photo/video framework exists; production governance remains.</x:v>
      </x:c>
      <x:c r="Q81" s="40" t="str">
        <x:v>https://github.com/kmwstudy88-ship-it/SafeStepsApp/blob/main/docs/SAFESTEPS_FULL_SYSTEM_SUMMARY_2026-07-15.md</x:v>
      </x:c>
    </x:row>
    <x:row r="82">
      <x:c r="A82" s="36" t="str">
        <x:v>OPS-001</x:v>
      </x:c>
      <x:c r="B82" s="40" t="str">
        <x:v>Caseworker &amp; Service Operations</x:v>
      </x:c>
      <x:c r="C82" s="40" t="str">
        <x:v>Worker dashboard</x:v>
      </x:c>
      <x:c r="D82" s="40" t="str">
        <x:v>Complete</x:v>
      </x:c>
      <x:c r="E82" s="40" t="str">
        <x:v>Complete</x:v>
      </x:c>
      <x:c r="F82" s="40" t="str">
        <x:v>Complete</x:v>
      </x:c>
      <x:c r="G82" s="40" t="str">
        <x:v>Complete</x:v>
      </x:c>
      <x:c r="H82" s="40" t="str">
        <x:v>Partial</x:v>
      </x:c>
      <x:c r="I82" s="40" t="str">
        <x:v>Not verified</x:v>
      </x:c>
      <x:c r="J82" s="40" t="str">
        <x:v>Missing</x:v>
      </x:c>
      <x:c r="K82" s="40" t="str">
        <x:v>Main</x:v>
      </x:c>
      <x:c r="L82" s="40" t="str">
        <x:v>Partial</x:v>
      </x:c>
      <x:c r="M82" s="40" t="str">
        <x:v>P1</x:v>
      </x:c>
      <x:c r="N82" s="41" t="n">
        <x:f>IF((7-COUNTIF(D82:J82,"N/A"))=0,0,(COUNTIF(D82:J82,"Complete")+0.5*COUNTIF(D82:J82,"Partial")+0.4*COUNTIF(D82:J82,"Open PR")+0.25*COUNTIF(D82:J82,"Not verified"))/(7-COUNTIF(D82:J82,"N/A")))</x:f>
        <x:v>0.6785714285714286</x:v>
      </x:c>
      <x:c r="O82" s="40" t="str">
        <x:v>Test full worker journey across assigned families</x:v>
      </x:c>
      <x:c r="P82" s="40" t="str">
        <x:v>Worker dashboard route exists.</x:v>
      </x:c>
      <x:c r="Q82" s="40" t="str">
        <x:v>https://github.com/kmwstudy88-ship-it/SafeStepsApp/blob/main/docs/SAFESTEPS_FULL_SYSTEM_SUMMARY_2026-07-15.md</x:v>
      </x:c>
    </x:row>
    <x:row r="83">
      <x:c r="A83" s="36" t="str">
        <x:v>OPS-002</x:v>
      </x:c>
      <x:c r="B83" s="40" t="str">
        <x:v>Caseworker &amp; Service Operations</x:v>
      </x:c>
      <x:c r="C83" s="40" t="str">
        <x:v>Documents case-management screen</x:v>
      </x:c>
      <x:c r="D83" s="40" t="str">
        <x:v>Complete</x:v>
      </x:c>
      <x:c r="E83" s="40" t="str">
        <x:v>Complete</x:v>
      </x:c>
      <x:c r="F83" s="40" t="str">
        <x:v>Partial</x:v>
      </x:c>
      <x:c r="G83" s="40" t="str">
        <x:v>Complete</x:v>
      </x:c>
      <x:c r="H83" s="40" t="str">
        <x:v>Partial</x:v>
      </x:c>
      <x:c r="I83" s="40" t="str">
        <x:v>Not verified</x:v>
      </x:c>
      <x:c r="J83" s="40" t="str">
        <x:v>Missing</x:v>
      </x:c>
      <x:c r="K83" s="40" t="str">
        <x:v>Main</x:v>
      </x:c>
      <x:c r="L83" s="40" t="str">
        <x:v>Partial</x:v>
      </x:c>
      <x:c r="M83" s="40" t="str">
        <x:v>P1</x:v>
      </x:c>
      <x:c r="N83" s="41" t="n">
        <x:f>IF((7-COUNTIF(D83:J83,"N/A"))=0,0,(COUNTIF(D83:J83,"Complete")+0.5*COUNTIF(D83:J83,"Partial")+0.4*COUNTIF(D83:J83,"Open PR")+0.25*COUNTIF(D83:J83,"Not verified"))/(7-COUNTIF(D83:J83,"N/A")))</x:f>
        <x:v>0.6071428571428571</x:v>
      </x:c>
      <x:c r="O83" s="40" t="str">
        <x:v>Connect fully to durable API/live records after PR #19</x:v>
      </x:c>
      <x:c r="P83" s="40" t="str">
        <x:v>Document UI exists; backend final integration is pending.</x:v>
      </x:c>
      <x:c r="Q83" s="40" t="str">
        <x:v>https://github.com/kmwstudy88-ship-it/SafeStepsApp/blob/main/docs/PRODUCTION_READY_BASELINE_2026-07-15.md</x:v>
      </x:c>
    </x:row>
    <x:row r="84">
      <x:c r="A84" s="36" t="str">
        <x:v>OPS-003</x:v>
      </x:c>
      <x:c r="B84" s="40" t="str">
        <x:v>Caseworker &amp; Service Operations</x:v>
      </x:c>
      <x:c r="C84" s="40" t="str">
        <x:v>Sessions scheduling/completion</x:v>
      </x:c>
      <x:c r="D84" s="40" t="str">
        <x:v>Complete</x:v>
      </x:c>
      <x:c r="E84" s="40" t="str">
        <x:v>Complete</x:v>
      </x:c>
      <x:c r="F84" s="40" t="str">
        <x:v>Complete</x:v>
      </x:c>
      <x:c r="G84" s="40" t="str">
        <x:v>Complete</x:v>
      </x:c>
      <x:c r="H84" s="40" t="str">
        <x:v>Partial</x:v>
      </x:c>
      <x:c r="I84" s="40" t="str">
        <x:v>Not verified</x:v>
      </x:c>
      <x:c r="J84" s="40" t="str">
        <x:v>Missing</x:v>
      </x:c>
      <x:c r="K84" s="40" t="str">
        <x:v>Main</x:v>
      </x:c>
      <x:c r="L84" s="40" t="str">
        <x:v>Partial</x:v>
      </x:c>
      <x:c r="M84" s="40" t="str">
        <x:v>P2</x:v>
      </x:c>
      <x:c r="N84" s="41" t="n">
        <x:f>IF((7-COUNTIF(D84:J84,"N/A"))=0,0,(COUNTIF(D84:J84,"Complete")+0.5*COUNTIF(D84:J84,"Partial")+0.4*COUNTIF(D84:J84,"Open PR")+0.25*COUNTIF(D84:J84,"Not verified"))/(7-COUNTIF(D84:J84,"N/A")))</x:f>
        <x:v>0.6785714285714286</x:v>
      </x:c>
      <x:c r="O84" s="40" t="str">
        <x:v>End-to-end test scheduling, missed sessions and case permissions</x:v>
      </x:c>
      <x:c r="P84" s="40" t="str">
        <x:v>Session engine/routes exist.</x:v>
      </x:c>
      <x:c r="Q84" s="40" t="str">
        <x:v>https://github.com/kmwstudy88-ship-it/SafeStepsApp/blob/main/docs/SAFESTEPS_FULL_SYSTEM_SUMMARY_2026-07-15.md</x:v>
      </x:c>
    </x:row>
    <x:row r="85">
      <x:c r="A85" s="36" t="str">
        <x:v>OPS-004</x:v>
      </x:c>
      <x:c r="B85" s="40" t="str">
        <x:v>Caseworker &amp; Service Operations</x:v>
      </x:c>
      <x:c r="C85" s="40" t="str">
        <x:v>Service referrals</x:v>
      </x:c>
      <x:c r="D85" s="40" t="str">
        <x:v>Complete</x:v>
      </x:c>
      <x:c r="E85" s="40" t="str">
        <x:v>Complete</x:v>
      </x:c>
      <x:c r="F85" s="40" t="str">
        <x:v>Complete</x:v>
      </x:c>
      <x:c r="G85" s="40" t="str">
        <x:v>Complete</x:v>
      </x:c>
      <x:c r="H85" s="40" t="str">
        <x:v>Partial</x:v>
      </x:c>
      <x:c r="I85" s="40" t="str">
        <x:v>Not verified</x:v>
      </x:c>
      <x:c r="J85" s="40" t="str">
        <x:v>Missing</x:v>
      </x:c>
      <x:c r="K85" s="40" t="str">
        <x:v>Main</x:v>
      </x:c>
      <x:c r="L85" s="40" t="str">
        <x:v>Partial</x:v>
      </x:c>
      <x:c r="M85" s="40" t="str">
        <x:v>P1</x:v>
      </x:c>
      <x:c r="N85" s="41" t="n">
        <x:f>IF((7-COUNTIF(D85:J85,"N/A"))=0,0,(COUNTIF(D85:J85,"Complete")+0.5*COUNTIF(D85:J85,"Partial")+0.4*COUNTIF(D85:J85,"Open PR")+0.25*COUNTIF(D85:J85,"Not verified"))/(7-COUNTIF(D85:J85,"N/A")))</x:f>
        <x:v>0.6785714285714286</x:v>
      </x:c>
      <x:c r="O85" s="40" t="str">
        <x:v>Verify live provider/referral workflows per tenant</x:v>
      </x:c>
      <x:c r="P85" s="40" t="str">
        <x:v>Referral engine/routes/tables exist.</x:v>
      </x:c>
      <x:c r="Q85" s="40" t="str">
        <x:v>https://github.com/kmwstudy88-ship-it/SafeStepsApp/blob/main/docs/SAFESTEPS_FULL_SYSTEM_SUMMARY_2026-07-15.md</x:v>
      </x:c>
    </x:row>
    <x:row r="86">
      <x:c r="A86" s="36" t="str">
        <x:v>OPS-005</x:v>
      </x:c>
      <x:c r="B86" s="40" t="str">
        <x:v>Caseworker &amp; Service Operations</x:v>
      </x:c>
      <x:c r="C86" s="40" t="str">
        <x:v>Service provider directory</x:v>
      </x:c>
      <x:c r="D86" s="40" t="str">
        <x:v>Complete</x:v>
      </x:c>
      <x:c r="E86" s="40" t="str">
        <x:v>Complete</x:v>
      </x:c>
      <x:c r="F86" s="40" t="str">
        <x:v>Complete</x:v>
      </x:c>
      <x:c r="G86" s="40" t="str">
        <x:v>Partial</x:v>
      </x:c>
      <x:c r="H86" s="40" t="str">
        <x:v>Partial</x:v>
      </x:c>
      <x:c r="I86" s="40" t="str">
        <x:v>Not verified</x:v>
      </x:c>
      <x:c r="J86" s="40" t="str">
        <x:v>Missing</x:v>
      </x:c>
      <x:c r="K86" s="40" t="str">
        <x:v>Main</x:v>
      </x:c>
      <x:c r="L86" s="40" t="str">
        <x:v>Partial</x:v>
      </x:c>
      <x:c r="M86" s="40" t="str">
        <x:v>P2</x:v>
      </x:c>
      <x:c r="N86" s="41" t="n">
        <x:f>IF((7-COUNTIF(D86:J86,"N/A"))=0,0,(COUNTIF(D86:J86,"Complete")+0.5*COUNTIF(D86:J86,"Partial")+0.4*COUNTIF(D86:J86,"Open PR")+0.25*COUNTIF(D86:J86,"Not verified"))/(7-COUNTIF(D86:J86,"N/A")))</x:f>
        <x:v>0.6071428571428571</x:v>
      </x:c>
      <x:c r="O86" s="40" t="str">
        <x:v>Populate/administer provider data and tenant scoping</x:v>
      </x:c>
      <x:c r="P86" s="40" t="str">
        <x:v>Service providers and community services foundations exist.</x:v>
      </x:c>
      <x:c r="Q86" s="40" t="str">
        <x:v>https://github.com/kmwstudy88-ship-it/SafeStepsApp/blob/main/supabase/migrations/20260701225859_assessment_data_model.sql</x:v>
      </x:c>
    </x:row>
    <x:row r="87">
      <x:c r="A87" s="36" t="str">
        <x:v>OPS-006</x:v>
      </x:c>
      <x:c r="B87" s="40" t="str">
        <x:v>Caseworker &amp; Service Operations</x:v>
      </x:c>
      <x:c r="C87" s="40" t="str">
        <x:v>Lawyer/court professional access</x:v>
      </x:c>
      <x:c r="D87" s="40" t="str">
        <x:v>Complete</x:v>
      </x:c>
      <x:c r="E87" s="40" t="str">
        <x:v>Partial</x:v>
      </x:c>
      <x:c r="F87" s="40" t="str">
        <x:v>Partial</x:v>
      </x:c>
      <x:c r="G87" s="40" t="str">
        <x:v>Partial</x:v>
      </x:c>
      <x:c r="H87" s="40" t="str">
        <x:v>Partial</x:v>
      </x:c>
      <x:c r="I87" s="40" t="str">
        <x:v>Not verified</x:v>
      </x:c>
      <x:c r="J87" s="40" t="str">
        <x:v>Missing</x:v>
      </x:c>
      <x:c r="K87" s="40" t="str">
        <x:v>Main</x:v>
      </x:c>
      <x:c r="L87" s="40" t="str">
        <x:v>Partial</x:v>
      </x:c>
      <x:c r="M87" s="40" t="str">
        <x:v>P2</x:v>
      </x:c>
      <x:c r="N87" s="41" t="n">
        <x:f>IF((7-COUNTIF(D87:J87,"N/A"))=0,0,(COUNTIF(D87:J87,"Complete")+0.5*COUNTIF(D87:J87,"Partial")+0.4*COUNTIF(D87:J87,"Open PR")+0.25*COUNTIF(D87:J87,"Not verified"))/(7-COUNTIF(D87:J87,"N/A")))</x:f>
        <x:v>0.4642857142857143</x:v>
      </x:c>
      <x:c r="O87" s="40" t="str">
        <x:v>Define least-privilege read-only roles and case-specific access</x:v>
      </x:c>
      <x:c r="P87" s="40" t="str">
        <x:v>Support-role/court-aware surfaces exist but production role matrix is incomplete.</x:v>
      </x:c>
      <x:c r="Q87" s="40" t="str">
        <x:v>https://github.com/kmwstudy88-ship-it/SafeStepsApp/blob/main/docs/SAFESTEPS_FULL_SYSTEM_SUMMARY_2026-07-15.md</x:v>
      </x:c>
    </x:row>
    <x:row r="88">
      <x:c r="A88" s="36" t="str">
        <x:v>OPS-007</x:v>
      </x:c>
      <x:c r="B88" s="40" t="str">
        <x:v>Caseworker &amp; Service Operations</x:v>
      </x:c>
      <x:c r="C88" s="40" t="str">
        <x:v>Supervisor/clinician review roles</x:v>
      </x:c>
      <x:c r="D88" s="40" t="str">
        <x:v>Complete</x:v>
      </x:c>
      <x:c r="E88" s="40" t="str">
        <x:v>Partial</x:v>
      </x:c>
      <x:c r="F88" s="40" t="str">
        <x:v>Complete</x:v>
      </x:c>
      <x:c r="G88" s="40" t="str">
        <x:v>Partial</x:v>
      </x:c>
      <x:c r="H88" s="40" t="str">
        <x:v>Partial</x:v>
      </x:c>
      <x:c r="I88" s="40" t="str">
        <x:v>Not verified</x:v>
      </x:c>
      <x:c r="J88" s="40" t="str">
        <x:v>Missing</x:v>
      </x:c>
      <x:c r="K88" s="40" t="str">
        <x:v>Main</x:v>
      </x:c>
      <x:c r="L88" s="40" t="str">
        <x:v>Partial</x:v>
      </x:c>
      <x:c r="M88" s="40" t="str">
        <x:v>P1</x:v>
      </x:c>
      <x:c r="N88" s="41" t="n">
        <x:f>IF((7-COUNTIF(D88:J88,"N/A"))=0,0,(COUNTIF(D88:J88,"Complete")+0.5*COUNTIF(D88:J88,"Partial")+0.4*COUNTIF(D88:J88,"Open PR")+0.25*COUNTIF(D88:J88,"Not verified"))/(7-COUNTIF(D88:J88,"N/A")))</x:f>
        <x:v>0.5357142857142857</x:v>
      </x:c>
      <x:c r="O88" s="40" t="str">
        <x:v>Finish permission matrix and sign-off workflows</x:v>
      </x:c>
      <x:c r="P88" s="40" t="str">
        <x:v>Assessment management roles include clinician/supervisor in schema.</x:v>
      </x:c>
      <x:c r="Q88" s="40" t="str">
        <x:v>https://github.com/kmwstudy88-ship-it/SafeStepsApp/blob/main/supabase/migrations/20260701225859_assessment_data_model.sql</x:v>
      </x:c>
    </x:row>
    <x:row r="89">
      <x:c r="A89" s="36" t="str">
        <x:v>CHD-001</x:v>
      </x:c>
      <x:c r="B89" s="40" t="str">
        <x:v>Child &amp; Parent-Child</x:v>
      </x:c>
      <x:c r="C89" s="40" t="str">
        <x:v>Child dashboard/home</x:v>
      </x:c>
      <x:c r="D89" s="40" t="str">
        <x:v>Complete</x:v>
      </x:c>
      <x:c r="E89" s="40" t="str">
        <x:v>Complete</x:v>
      </x:c>
      <x:c r="F89" s="40" t="str">
        <x:v>Partial</x:v>
      </x:c>
      <x:c r="G89" s="40" t="str">
        <x:v>Complete</x:v>
      </x:c>
      <x:c r="H89" s="40" t="str">
        <x:v>Partial</x:v>
      </x:c>
      <x:c r="I89" s="40" t="str">
        <x:v>Not verified</x:v>
      </x:c>
      <x:c r="J89" s="40" t="str">
        <x:v>Missing</x:v>
      </x:c>
      <x:c r="K89" s="40" t="str">
        <x:v>Main</x:v>
      </x:c>
      <x:c r="L89" s="40" t="str">
        <x:v>Partial</x:v>
      </x:c>
      <x:c r="M89" s="40" t="str">
        <x:v>P1</x:v>
      </x:c>
      <x:c r="N89" s="41" t="n">
        <x:f>IF((7-COUNTIF(D89:J89,"N/A"))=0,0,(COUNTIF(D89:J89,"Complete")+0.5*COUNTIF(D89:J89,"Partial")+0.4*COUNTIF(D89:J89,"Open PR")+0.25*COUNTIF(D89:J89,"Not verified"))/(7-COUNTIF(D89:J89,"N/A")))</x:f>
        <x:v>0.6071428571428571</x:v>
      </x:c>
      <x:c r="O89" s="40" t="str">
        <x:v>Test with real child login once PR #19 path is merged</x:v>
      </x:c>
      <x:c r="P89" s="40" t="str">
        <x:v>Child home route exists.</x:v>
      </x:c>
      <x:c r="Q89" s="40" t="str">
        <x:v>https://github.com/kmwstudy88-ship-it/SafeStepsApp/blob/main/docs/SAFESTEPS_FULL_SYSTEM_SUMMARY_2026-07-15.md</x:v>
      </x:c>
    </x:row>
    <x:row r="90">
      <x:c r="A90" s="36" t="str">
        <x:v>CHD-002</x:v>
      </x:c>
      <x:c r="B90" s="40" t="str">
        <x:v>Child &amp; Parent-Child</x:v>
      </x:c>
      <x:c r="C90" s="40" t="str">
        <x:v>Feelings check-in</x:v>
      </x:c>
      <x:c r="D90" s="40" t="str">
        <x:v>Complete</x:v>
      </x:c>
      <x:c r="E90" s="40" t="str">
        <x:v>Complete</x:v>
      </x:c>
      <x:c r="F90" s="40" t="str">
        <x:v>Partial</x:v>
      </x:c>
      <x:c r="G90" s="40" t="str">
        <x:v>Complete</x:v>
      </x:c>
      <x:c r="H90" s="40" t="str">
        <x:v>Partial</x:v>
      </x:c>
      <x:c r="I90" s="40" t="str">
        <x:v>Not verified</x:v>
      </x:c>
      <x:c r="J90" s="40" t="str">
        <x:v>Missing</x:v>
      </x:c>
      <x:c r="K90" s="40" t="str">
        <x:v>Main</x:v>
      </x:c>
      <x:c r="L90" s="40" t="str">
        <x:v>Partial</x:v>
      </x:c>
      <x:c r="M90" s="40" t="str">
        <x:v>P1</x:v>
      </x:c>
      <x:c r="N90" s="41" t="n">
        <x:f>IF((7-COUNTIF(D90:J90,"N/A"))=0,0,(COUNTIF(D90:J90,"Complete")+0.5*COUNTIF(D90:J90,"Partial")+0.4*COUNTIF(D90:J90,"Open PR")+0.25*COUNTIF(D90:J90,"Not verified"))/(7-COUNTIF(D90:J90,"N/A")))</x:f>
        <x:v>0.6071428571428571</x:v>
      </x:c>
      <x:c r="O90" s="40" t="str">
        <x:v>Verify privacy/sharing and safeguarding escalation rules</x:v>
      </x:c>
      <x:c r="P90" s="40" t="str">
        <x:v>Child check-in route exists.</x:v>
      </x:c>
      <x:c r="Q90" s="40" t="str">
        <x:v>https://github.com/kmwstudy88-ship-it/SafeStepsApp/blob/main/docs/SAFESTEPS_FULL_SYSTEM_SUMMARY_2026-07-15.md</x:v>
      </x:c>
    </x:row>
    <x:row r="91">
      <x:c r="A91" s="36" t="str">
        <x:v>CHD-003</x:v>
      </x:c>
      <x:c r="B91" s="40" t="str">
        <x:v>Child &amp; Parent-Child</x:v>
      </x:c>
      <x:c r="C91" s="40" t="str">
        <x:v>My Story / child voice</x:v>
      </x:c>
      <x:c r="D91" s="40" t="str">
        <x:v>Complete</x:v>
      </x:c>
      <x:c r="E91" s="40" t="str">
        <x:v>Complete</x:v>
      </x:c>
      <x:c r="F91" s="40" t="str">
        <x:v>Partial</x:v>
      </x:c>
      <x:c r="G91" s="40" t="str">
        <x:v>Complete</x:v>
      </x:c>
      <x:c r="H91" s="40" t="str">
        <x:v>Partial</x:v>
      </x:c>
      <x:c r="I91" s="40" t="str">
        <x:v>Not verified</x:v>
      </x:c>
      <x:c r="J91" s="40" t="str">
        <x:v>Missing</x:v>
      </x:c>
      <x:c r="K91" s="40" t="str">
        <x:v>Main</x:v>
      </x:c>
      <x:c r="L91" s="40" t="str">
        <x:v>Partial</x:v>
      </x:c>
      <x:c r="M91" s="40" t="str">
        <x:v>P1</x:v>
      </x:c>
      <x:c r="N91" s="41" t="n">
        <x:f>IF((7-COUNTIF(D91:J91,"N/A"))=0,0,(COUNTIF(D91:J91,"Complete")+0.5*COUNTIF(D91:J91,"Partial")+0.4*COUNTIF(D91:J91,"Open PR")+0.25*COUNTIF(D91:J91,"Not verified"))/(7-COUNTIF(D91:J91,"N/A")))</x:f>
        <x:v>0.6071428571428571</x:v>
      </x:c>
      <x:c r="O91" s="40" t="str">
        <x:v>Verify child-only/default-sharing permissions</x:v>
      </x:c>
      <x:c r="P91" s="40" t="str">
        <x:v>Child My Story and voice-related surfaces exist.</x:v>
      </x:c>
      <x:c r="Q91" s="40" t="str">
        <x:v>https://github.com/kmwstudy88-ship-it/SafeStepsApp/blob/main/docs/SAFESTEPS_FULL_SYSTEM_SUMMARY_2026-07-15.md</x:v>
      </x:c>
    </x:row>
    <x:row r="92">
      <x:c r="A92" s="36" t="str">
        <x:v>CHD-004</x:v>
      </x:c>
      <x:c r="B92" s="40" t="str">
        <x:v>Child &amp; Parent-Child</x:v>
      </x:c>
      <x:c r="C92" s="40" t="str">
        <x:v>Safe people / safety rules</x:v>
      </x:c>
      <x:c r="D92" s="40" t="str">
        <x:v>Complete</x:v>
      </x:c>
      <x:c r="E92" s="40" t="str">
        <x:v>Complete</x:v>
      </x:c>
      <x:c r="F92" s="40" t="str">
        <x:v>Partial</x:v>
      </x:c>
      <x:c r="G92" s="40" t="str">
        <x:v>Complete</x:v>
      </x:c>
      <x:c r="H92" s="40" t="str">
        <x:v>Partial</x:v>
      </x:c>
      <x:c r="I92" s="40" t="str">
        <x:v>Not verified</x:v>
      </x:c>
      <x:c r="J92" s="40" t="str">
        <x:v>Missing</x:v>
      </x:c>
      <x:c r="K92" s="40" t="str">
        <x:v>Main</x:v>
      </x:c>
      <x:c r="L92" s="40" t="str">
        <x:v>Partial</x:v>
      </x:c>
      <x:c r="M92" s="40" t="str">
        <x:v>P1</x:v>
      </x:c>
      <x:c r="N92" s="41" t="n">
        <x:f>IF((7-COUNTIF(D92:J92,"N/A"))=0,0,(COUNTIF(D92:J92,"Complete")+0.5*COUNTIF(D92:J92,"Partial")+0.4*COUNTIF(D92:J92,"Open PR")+0.25*COUNTIF(D92:J92,"Not verified"))/(7-COUNTIF(D92:J92,"N/A")))</x:f>
        <x:v>0.6071428571428571</x:v>
      </x:c>
      <x:c r="O92" s="40" t="str">
        <x:v>Safeguarding review and test child-private access</x:v>
      </x:c>
      <x:c r="P92" s="40" t="str">
        <x:v>Routes exist.</x:v>
      </x:c>
      <x:c r="Q92" s="40" t="str">
        <x:v>https://github.com/kmwstudy88-ship-it/SafeStepsApp/blob/main/docs/SAFESTEPS_FULL_SYSTEM_SUMMARY_2026-07-15.md</x:v>
      </x:c>
    </x:row>
    <x:row r="93">
      <x:c r="A93" s="36" t="str">
        <x:v>CHD-005</x:v>
      </x:c>
      <x:c r="B93" s="40" t="str">
        <x:v>Child &amp; Parent-Child</x:v>
      </x:c>
      <x:c r="C93" s="40" t="str">
        <x:v>Visit preparation &amp; reflection</x:v>
      </x:c>
      <x:c r="D93" s="40" t="str">
        <x:v>Complete</x:v>
      </x:c>
      <x:c r="E93" s="40" t="str">
        <x:v>Complete</x:v>
      </x:c>
      <x:c r="F93" s="40" t="str">
        <x:v>Partial</x:v>
      </x:c>
      <x:c r="G93" s="40" t="str">
        <x:v>Complete</x:v>
      </x:c>
      <x:c r="H93" s="40" t="str">
        <x:v>Partial</x:v>
      </x:c>
      <x:c r="I93" s="40" t="str">
        <x:v>Not verified</x:v>
      </x:c>
      <x:c r="J93" s="40" t="str">
        <x:v>Missing</x:v>
      </x:c>
      <x:c r="K93" s="40" t="str">
        <x:v>Main</x:v>
      </x:c>
      <x:c r="L93" s="40" t="str">
        <x:v>Partial</x:v>
      </x:c>
      <x:c r="M93" s="40" t="str">
        <x:v>P2</x:v>
      </x:c>
      <x:c r="N93" s="41" t="n">
        <x:f>IF((7-COUNTIF(D93:J93,"N/A"))=0,0,(COUNTIF(D93:J93,"Complete")+0.5*COUNTIF(D93:J93,"Partial")+0.4*COUNTIF(D93:J93,"Open PR")+0.25*COUNTIF(D93:J93,"Not verified"))/(7-COUNTIF(D93:J93,"N/A")))</x:f>
        <x:v>0.6071428571428571</x:v>
      </x:c>
      <x:c r="O93" s="40" t="str">
        <x:v>Link to visit records and longitudinal reporting</x:v>
      </x:c>
      <x:c r="P93" s="40" t="str">
        <x:v>Child visit routes exist.</x:v>
      </x:c>
      <x:c r="Q93" s="40" t="str">
        <x:v>https://github.com/kmwstudy88-ship-it/SafeStepsApp/blob/main/docs/SAFESTEPS_FULL_SYSTEM_SUMMARY_2026-07-15.md</x:v>
      </x:c>
    </x:row>
    <x:row r="94">
      <x:c r="A94" s="36" t="str">
        <x:v>CHD-006</x:v>
      </x:c>
      <x:c r="B94" s="40" t="str">
        <x:v>Child &amp; Parent-Child</x:v>
      </x:c>
      <x:c r="C94" s="40" t="str">
        <x:v>Child requests &amp; response history</x:v>
      </x:c>
      <x:c r="D94" s="40" t="str">
        <x:v>Complete</x:v>
      </x:c>
      <x:c r="E94" s="40" t="str">
        <x:v>Complete</x:v>
      </x:c>
      <x:c r="F94" s="40" t="str">
        <x:v>Complete</x:v>
      </x:c>
      <x:c r="G94" s="40" t="str">
        <x:v>Complete</x:v>
      </x:c>
      <x:c r="H94" s="40" t="str">
        <x:v>Complete</x:v>
      </x:c>
      <x:c r="I94" s="40" t="str">
        <x:v>Complete</x:v>
      </x:c>
      <x:c r="J94" s="40" t="str">
        <x:v>Partial</x:v>
      </x:c>
      <x:c r="K94" s="40" t="str">
        <x:v>Main</x:v>
      </x:c>
      <x:c r="L94" s="40" t="str">
        <x:v>Substantial</x:v>
      </x:c>
      <x:c r="M94" s="40" t="str">
        <x:v>P2</x:v>
      </x:c>
      <x:c r="N94" s="41" t="n">
        <x:f>IF((7-COUNTIF(D94:J94,"N/A"))=0,0,(COUNTIF(D94:J94,"Complete")+0.5*COUNTIF(D94:J94,"Partial")+0.4*COUNTIF(D94:J94,"Open PR")+0.25*COUNTIF(D94:J94,"Not verified"))/(7-COUNTIF(D94:J94,"N/A")))</x:f>
        <x:v>0.9285714285714286</x:v>
      </x:c>
      <x:c r="O94" s="40" t="str">
        <x:v>Device test notifications and role visibility</x:v>
      </x:c>
      <x:c r="P94" s="40" t="str">
        <x:v>Merged PR #4 added request responses.</x:v>
      </x:c>
      <x:c r="Q94" s="40" t="str">
        <x:v>https://github.com/kmwstudy88-ship-it/SafeStepsApp/pull/4</x:v>
      </x:c>
    </x:row>
    <x:row r="95">
      <x:c r="A95" s="36" t="str">
        <x:v>CHD-007</x:v>
      </x:c>
      <x:c r="B95" s="40" t="str">
        <x:v>Child &amp; Parent-Child</x:v>
      </x:c>
      <x:c r="C95" s="40" t="str">
        <x:v>Parent-child monitored messaging</x:v>
      </x:c>
      <x:c r="D95" s="40" t="str">
        <x:v>Complete</x:v>
      </x:c>
      <x:c r="E95" s="40" t="str">
        <x:v>Complete</x:v>
      </x:c>
      <x:c r="F95" s="40" t="str">
        <x:v>Complete</x:v>
      </x:c>
      <x:c r="G95" s="40" t="str">
        <x:v>Complete</x:v>
      </x:c>
      <x:c r="H95" s="40" t="str">
        <x:v>Complete</x:v>
      </x:c>
      <x:c r="I95" s="40" t="str">
        <x:v>Complete</x:v>
      </x:c>
      <x:c r="J95" s="40" t="str">
        <x:v>Partial</x:v>
      </x:c>
      <x:c r="K95" s="40" t="str">
        <x:v>Main</x:v>
      </x:c>
      <x:c r="L95" s="40" t="str">
        <x:v>Substantial</x:v>
      </x:c>
      <x:c r="M95" s="40" t="str">
        <x:v>P1</x:v>
      </x:c>
      <x:c r="N95" s="41" t="n">
        <x:f>IF((7-COUNTIF(D95:J95,"N/A"))=0,0,(COUNTIF(D95:J95,"Complete")+0.5*COUNTIF(D95:J95,"Partial")+0.4*COUNTIF(D95:J95,"Open PR")+0.25*COUNTIF(D95:J95,"Not verified"))/(7-COUNTIF(D95:J95,"N/A")))</x:f>
        <x:v>0.9285714285714286</x:v>
      </x:c>
      <x:c r="O95" s="40" t="str">
        <x:v>Safeguarding and moderation workflow review</x:v>
      </x:c>
      <x:c r="P95" s="40" t="str">
        <x:v>Merged PR #5.</x:v>
      </x:c>
      <x:c r="Q95" s="40" t="str">
        <x:v>https://github.com/kmwstudy88-ship-it/SafeStepsApp/pull/5</x:v>
      </x:c>
    </x:row>
    <x:row r="96">
      <x:c r="A96" s="36" t="str">
        <x:v>CHD-008</x:v>
      </x:c>
      <x:c r="B96" s="40" t="str">
        <x:v>Child &amp; Parent-Child</x:v>
      </x:c>
      <x:c r="C96" s="40" t="str">
        <x:v>Parent-child dashboard/hub</x:v>
      </x:c>
      <x:c r="D96" s="40" t="str">
        <x:v>Complete</x:v>
      </x:c>
      <x:c r="E96" s="40" t="str">
        <x:v>Complete</x:v>
      </x:c>
      <x:c r="F96" s="40" t="str">
        <x:v>Complete</x:v>
      </x:c>
      <x:c r="G96" s="40" t="str">
        <x:v>Complete</x:v>
      </x:c>
      <x:c r="H96" s="40" t="str">
        <x:v>Complete</x:v>
      </x:c>
      <x:c r="I96" s="40" t="str">
        <x:v>Complete</x:v>
      </x:c>
      <x:c r="J96" s="40" t="str">
        <x:v>Partial</x:v>
      </x:c>
      <x:c r="K96" s="40" t="str">
        <x:v>Main</x:v>
      </x:c>
      <x:c r="L96" s="40" t="str">
        <x:v>Substantial</x:v>
      </x:c>
      <x:c r="M96" s="40" t="str">
        <x:v>P2</x:v>
      </x:c>
      <x:c r="N96" s="41" t="n">
        <x:f>IF((7-COUNTIF(D96:J96,"N/A"))=0,0,(COUNTIF(D96:J96,"Complete")+0.5*COUNTIF(D96:J96,"Partial")+0.4*COUNTIF(D96:J96,"Open PR")+0.25*COUNTIF(D96:J96,"Not verified"))/(7-COUNTIF(D96:J96,"N/A")))</x:f>
        <x:v>0.9285714285714286</x:v>
      </x:c>
      <x:c r="O96" s="40" t="str">
        <x:v>Test with real family data and multiple children</x:v>
      </x:c>
      <x:c r="P96" s="40" t="str">
        <x:v>Merged PR #6 redesign.</x:v>
      </x:c>
      <x:c r="Q96" s="40" t="str">
        <x:v>https://github.com/kmwstudy88-ship-it/SafeStepsApp/pull/6</x:v>
      </x:c>
    </x:row>
    <x:row r="97">
      <x:c r="A97" s="36" t="str">
        <x:v>CHD-009</x:v>
      </x:c>
      <x:c r="B97" s="40" t="str">
        <x:v>Child &amp; Parent-Child</x:v>
      </x:c>
      <x:c r="C97" s="40" t="str">
        <x:v>Shared items / sharing controls</x:v>
      </x:c>
      <x:c r="D97" s="40" t="str">
        <x:v>Complete</x:v>
      </x:c>
      <x:c r="E97" s="40" t="str">
        <x:v>Complete</x:v>
      </x:c>
      <x:c r="F97" s="40" t="str">
        <x:v>Complete</x:v>
      </x:c>
      <x:c r="G97" s="40" t="str">
        <x:v>Complete</x:v>
      </x:c>
      <x:c r="H97" s="40" t="str">
        <x:v>Partial</x:v>
      </x:c>
      <x:c r="I97" s="40" t="str">
        <x:v>Not verified</x:v>
      </x:c>
      <x:c r="J97" s="40" t="str">
        <x:v>Missing</x:v>
      </x:c>
      <x:c r="K97" s="40" t="str">
        <x:v>Main</x:v>
      </x:c>
      <x:c r="L97" s="40" t="str">
        <x:v>Partial</x:v>
      </x:c>
      <x:c r="M97" s="40" t="str">
        <x:v>P1</x:v>
      </x:c>
      <x:c r="N97" s="41" t="n">
        <x:f>IF((7-COUNTIF(D97:J97,"N/A"))=0,0,(COUNTIF(D97:J97,"Complete")+0.5*COUNTIF(D97:J97,"Partial")+0.4*COUNTIF(D97:J97,"Open PR")+0.25*COUNTIF(D97:J97,"Not verified"))/(7-COUNTIF(D97:J97,"N/A")))</x:f>
        <x:v>0.6785714285714286</x:v>
      </x:c>
      <x:c r="O97" s="40" t="str">
        <x:v>Verify child consent defaults and parent visibility rules</x:v>
      </x:c>
      <x:c r="P97" s="40" t="str">
        <x:v>Parent-child shared item routes exist.</x:v>
      </x:c>
      <x:c r="Q97" s="40" t="str">
        <x:v>https://github.com/kmwstudy88-ship-it/SafeStepsApp/blob/main/docs/SAFESTEPS_FULL_SYSTEM_SUMMARY_2026-07-15.md</x:v>
      </x:c>
    </x:row>
    <x:row r="98">
      <x:c r="A98" s="36" t="str">
        <x:v>TEN-001</x:v>
      </x:c>
      <x:c r="B98" s="40" t="str">
        <x:v>Multi-Service / Multi-Tenant</x:v>
      </x:c>
      <x:c r="C98" s="40" t="str">
        <x:v>Platform tenants</x:v>
      </x:c>
      <x:c r="D98" s="40" t="str">
        <x:v>Complete</x:v>
      </x:c>
      <x:c r="E98" s="40" t="str">
        <x:v>Complete</x:v>
      </x:c>
      <x:c r="F98" s="40" t="str">
        <x:v>Complete</x:v>
      </x:c>
      <x:c r="G98" s="40" t="str">
        <x:v>Partial</x:v>
      </x:c>
      <x:c r="H98" s="40" t="str">
        <x:v>Partial</x:v>
      </x:c>
      <x:c r="I98" s="40" t="str">
        <x:v>Not verified</x:v>
      </x:c>
      <x:c r="J98" s="40" t="str">
        <x:v>Missing</x:v>
      </x:c>
      <x:c r="K98" s="40" t="str">
        <x:v>Main</x:v>
      </x:c>
      <x:c r="L98" s="40" t="str">
        <x:v>Foundation built</x:v>
      </x:c>
      <x:c r="M98" s="40" t="str">
        <x:v>P1</x:v>
      </x:c>
      <x:c r="N98" s="41" t="n">
        <x:f>IF((7-COUNTIF(D98:J98,"N/A"))=0,0,(COUNTIF(D98:J98,"Complete")+0.5*COUNTIF(D98:J98,"Partial")+0.4*COUNTIF(D98:J98,"Open PR")+0.25*COUNTIF(D98:J98,"Not verified"))/(7-COUNTIF(D98:J98,"N/A")))</x:f>
        <x:v>0.6071428571428571</x:v>
      </x:c>
      <x:c r="O98" s="40" t="str">
        <x:v>Create staging tenants and test isolation</x:v>
      </x:c>
      <x:c r="P98" s="40" t="str">
        <x:v>platform_tenants table exists.</x:v>
      </x:c>
      <x:c r="Q98" s="40" t="str">
        <x:v>https://github.com/kmwstudy88-ship-it/SafeStepsApp/blob/main/supabase/migrations/20260721232009_white_label_multi_tenant_platform_volume23.sql</x:v>
      </x:c>
    </x:row>
    <x:row r="99">
      <x:c r="A99" s="36" t="str">
        <x:v>TEN-002</x:v>
      </x:c>
      <x:c r="B99" s="40" t="str">
        <x:v>Multi-Service / Multi-Tenant</x:v>
      </x:c>
      <x:c r="C99" s="40" t="str">
        <x:v>Organisations linked to tenants</x:v>
      </x:c>
      <x:c r="D99" s="40" t="str">
        <x:v>Complete</x:v>
      </x:c>
      <x:c r="E99" s="40" t="str">
        <x:v>Complete</x:v>
      </x:c>
      <x:c r="F99" s="40" t="str">
        <x:v>Complete</x:v>
      </x:c>
      <x:c r="G99" s="40" t="str">
        <x:v>Partial</x:v>
      </x:c>
      <x:c r="H99" s="40" t="str">
        <x:v>Partial</x:v>
      </x:c>
      <x:c r="I99" s="40" t="str">
        <x:v>Not verified</x:v>
      </x:c>
      <x:c r="J99" s="40" t="str">
        <x:v>Missing</x:v>
      </x:c>
      <x:c r="K99" s="40" t="str">
        <x:v>Main</x:v>
      </x:c>
      <x:c r="L99" s="40" t="str">
        <x:v>Foundation built</x:v>
      </x:c>
      <x:c r="M99" s="40" t="str">
        <x:v>P1</x:v>
      </x:c>
      <x:c r="N99" s="41" t="n">
        <x:f>IF((7-COUNTIF(D99:J99,"N/A"))=0,0,(COUNTIF(D99:J99,"Complete")+0.5*COUNTIF(D99:J99,"Partial")+0.4*COUNTIF(D99:J99,"Open PR")+0.25*COUNTIF(D99:J99,"Not verified"))/(7-COUNTIF(D99:J99,"N/A")))</x:f>
        <x:v>0.6071428571428571</x:v>
      </x:c>
      <x:c r="O99" s="40" t="str">
        <x:v>Provision 3 test organisations and exercise memberships</x:v>
      </x:c>
      <x:c r="P99" s="40" t="str">
        <x:v>Tenant organisation links exist.</x:v>
      </x:c>
      <x:c r="Q99" s="40" t="str">
        <x:v>https://github.com/kmwstudy88-ship-it/SafeStepsApp/blob/main/supabase/migrations/20260721232009_white_label_multi_tenant_platform_volume23.sql</x:v>
      </x:c>
    </x:row>
    <x:row r="100">
      <x:c r="A100" s="36" t="str">
        <x:v>TEN-003</x:v>
      </x:c>
      <x:c r="B100" s="40" t="str">
        <x:v>Multi-Service / Multi-Tenant</x:v>
      </x:c>
      <x:c r="C100" s="40" t="str">
        <x:v>Families/cases tenant scoping</x:v>
      </x:c>
      <x:c r="D100" s="40" t="str">
        <x:v>Complete</x:v>
      </x:c>
      <x:c r="E100" s="40" t="str">
        <x:v>Complete</x:v>
      </x:c>
      <x:c r="F100" s="40" t="str">
        <x:v>Complete</x:v>
      </x:c>
      <x:c r="G100" s="40" t="str">
        <x:v>Partial</x:v>
      </x:c>
      <x:c r="H100" s="40" t="str">
        <x:v>Partial</x:v>
      </x:c>
      <x:c r="I100" s="40" t="str">
        <x:v>Not verified</x:v>
      </x:c>
      <x:c r="J100" s="40" t="str">
        <x:v>Missing</x:v>
      </x:c>
      <x:c r="K100" s="40" t="str">
        <x:v>Main</x:v>
      </x:c>
      <x:c r="L100" s="40" t="str">
        <x:v>Foundation built</x:v>
      </x:c>
      <x:c r="M100" s="40" t="str">
        <x:v>P1</x:v>
      </x:c>
      <x:c r="N100" s="41" t="n">
        <x:f>IF((7-COUNTIF(D100:J100,"N/A"))=0,0,(COUNTIF(D100:J100,"Complete")+0.5*COUNTIF(D100:J100,"Partial")+0.4*COUNTIF(D100:J100,"Open PR")+0.25*COUNTIF(D100:J100,"Not verified"))/(7-COUNTIF(D100:J100,"N/A")))</x:f>
        <x:v>0.6071428571428571</x:v>
      </x:c>
      <x:c r="O100" s="40" t="str">
        <x:v>Verify every query/RLS policy scopes family/case by tenant</x:v>
      </x:c>
      <x:c r="P100" s="40" t="str">
        <x:v>families/cases receive tenant_id.</x:v>
      </x:c>
      <x:c r="Q100" s="40" t="str">
        <x:v>https://github.com/kmwstudy88-ship-it/SafeStepsApp/blob/main/supabase/migrations/20260721232009_white_label_multi_tenant_platform_volume23.sql</x:v>
      </x:c>
    </x:row>
    <x:row r="101">
      <x:c r="A101" s="36" t="str">
        <x:v>TEN-004</x:v>
      </x:c>
      <x:c r="B101" s="40" t="str">
        <x:v>Multi-Service / Multi-Tenant</x:v>
      </x:c>
      <x:c r="C101" s="40" t="str">
        <x:v>Tenant user memberships</x:v>
      </x:c>
      <x:c r="D101" s="40" t="str">
        <x:v>Complete</x:v>
      </x:c>
      <x:c r="E101" s="40" t="str">
        <x:v>Complete</x:v>
      </x:c>
      <x:c r="F101" s="40" t="str">
        <x:v>Complete</x:v>
      </x:c>
      <x:c r="G101" s="40" t="str">
        <x:v>Partial</x:v>
      </x:c>
      <x:c r="H101" s="40" t="str">
        <x:v>Partial</x:v>
      </x:c>
      <x:c r="I101" s="40" t="str">
        <x:v>Not verified</x:v>
      </x:c>
      <x:c r="J101" s="40" t="str">
        <x:v>Missing</x:v>
      </x:c>
      <x:c r="K101" s="40" t="str">
        <x:v>Main</x:v>
      </x:c>
      <x:c r="L101" s="40" t="str">
        <x:v>Foundation built</x:v>
      </x:c>
      <x:c r="M101" s="40" t="str">
        <x:v>P1</x:v>
      </x:c>
      <x:c r="N101" s="41" t="n">
        <x:f>IF((7-COUNTIF(D101:J101,"N/A"))=0,0,(COUNTIF(D101:J101,"Complete")+0.5*COUNTIF(D101:J101,"Partial")+0.4*COUNTIF(D101:J101,"Open PR")+0.25*COUNTIF(D101:J101,"Not verified"))/(7-COUNTIF(D101:J101,"N/A")))</x:f>
        <x:v>0.6071428571428571</x:v>
      </x:c>
      <x:c r="O101" s="40" t="str">
        <x:v>Test worker membership lifecycle and access removal</x:v>
      </x:c>
      <x:c r="P101" s="40" t="str">
        <x:v>platform_tenant_memberships exists.</x:v>
      </x:c>
      <x:c r="Q101" s="40" t="str">
        <x:v>https://github.com/kmwstudy88-ship-it/SafeStepsApp/blob/main/supabase/migrations/20260721232009_white_label_multi_tenant_platform_volume23.sql</x:v>
      </x:c>
    </x:row>
    <x:row r="102">
      <x:c r="A102" s="36" t="str">
        <x:v>TEN-005</x:v>
      </x:c>
      <x:c r="B102" s="40" t="str">
        <x:v>Multi-Service / Multi-Tenant</x:v>
      </x:c>
      <x:c r="C102" s="40" t="str">
        <x:v>Role definitions &amp; permission grants</x:v>
      </x:c>
      <x:c r="D102" s="40" t="str">
        <x:v>Complete</x:v>
      </x:c>
      <x:c r="E102" s="40" t="str">
        <x:v>Complete</x:v>
      </x:c>
      <x:c r="F102" s="40" t="str">
        <x:v>Complete</x:v>
      </x:c>
      <x:c r="G102" s="40" t="str">
        <x:v>Partial</x:v>
      </x:c>
      <x:c r="H102" s="40" t="str">
        <x:v>Partial</x:v>
      </x:c>
      <x:c r="I102" s="40" t="str">
        <x:v>Not verified</x:v>
      </x:c>
      <x:c r="J102" s="40" t="str">
        <x:v>Missing</x:v>
      </x:c>
      <x:c r="K102" s="40" t="str">
        <x:v>Main</x:v>
      </x:c>
      <x:c r="L102" s="40" t="str">
        <x:v>Foundation built</x:v>
      </x:c>
      <x:c r="M102" s="40" t="str">
        <x:v>P1</x:v>
      </x:c>
      <x:c r="N102" s="41" t="n">
        <x:f>IF((7-COUNTIF(D102:J102,"N/A"))=0,0,(COUNTIF(D102:J102,"Complete")+0.5*COUNTIF(D102:J102,"Partial")+0.4*COUNTIF(D102:J102,"Open PR")+0.25*COUNTIF(D102:J102,"Not verified"))/(7-COUNTIF(D102:J102,"N/A")))</x:f>
        <x:v>0.6071428571428571</x:v>
      </x:c>
      <x:c r="O102" s="40" t="str">
        <x:v>Create canonical role matrix and RLS tests</x:v>
      </x:c>
      <x:c r="P102" s="40" t="str">
        <x:v>Role definition/grant tables exist.</x:v>
      </x:c>
      <x:c r="Q102" s="40" t="str">
        <x:v>https://github.com/kmwstudy88-ship-it/SafeStepsApp/blob/main/supabase/migrations/20260721232009_white_label_multi_tenant_platform_volume23.sql</x:v>
      </x:c>
    </x:row>
    <x:row r="103">
      <x:c r="A103" s="36" t="str">
        <x:v>TEN-006</x:v>
      </x:c>
      <x:c r="B103" s="40" t="str">
        <x:v>Multi-Service / Multi-Tenant</x:v>
      </x:c>
      <x:c r="C103" s="40" t="str">
        <x:v>Cross-tenant sharing agreements</x:v>
      </x:c>
      <x:c r="D103" s="40" t="str">
        <x:v>Complete</x:v>
      </x:c>
      <x:c r="E103" s="40" t="str">
        <x:v>Complete</x:v>
      </x:c>
      <x:c r="F103" s="40" t="str">
        <x:v>Complete</x:v>
      </x:c>
      <x:c r="G103" s="40" t="str">
        <x:v>Partial</x:v>
      </x:c>
      <x:c r="H103" s="40" t="str">
        <x:v>Partial</x:v>
      </x:c>
      <x:c r="I103" s="40" t="str">
        <x:v>Not verified</x:v>
      </x:c>
      <x:c r="J103" s="40" t="str">
        <x:v>Missing</x:v>
      </x:c>
      <x:c r="K103" s="40" t="str">
        <x:v>Main</x:v>
      </x:c>
      <x:c r="L103" s="40" t="str">
        <x:v>Foundation built</x:v>
      </x:c>
      <x:c r="M103" s="40" t="str">
        <x:v>P2</x:v>
      </x:c>
      <x:c r="N103" s="41" t="n">
        <x:f>IF((7-COUNTIF(D103:J103,"N/A"))=0,0,(COUNTIF(D103:J103,"Complete")+0.5*COUNTIF(D103:J103,"Partial")+0.4*COUNTIF(D103:J103,"Open PR")+0.25*COUNTIF(D103:J103,"Not verified"))/(7-COUNTIF(D103:J103,"N/A")))</x:f>
        <x:v>0.6071428571428571</x:v>
      </x:c>
      <x:c r="O103" s="40" t="str">
        <x:v>Implement approval/UI/audit workflow; default deny</x:v>
      </x:c>
      <x:c r="P103" s="40" t="str">
        <x:v>Sharing agreement/access-grant tables exist.</x:v>
      </x:c>
      <x:c r="Q103" s="40" t="str">
        <x:v>https://github.com/kmwstudy88-ship-it/SafeStepsApp/blob/main/supabase/migrations/20260721232009_white_label_multi_tenant_platform_volume23.sql</x:v>
      </x:c>
    </x:row>
    <x:row r="104">
      <x:c r="A104" s="36" t="str">
        <x:v>TEN-007</x:v>
      </x:c>
      <x:c r="B104" s="40" t="str">
        <x:v>Multi-Service / Multi-Tenant</x:v>
      </x:c>
      <x:c r="C104" s="40" t="str">
        <x:v>Jurisdiction packs / regional configuration</x:v>
      </x:c>
      <x:c r="D104" s="40" t="str">
        <x:v>Complete</x:v>
      </x:c>
      <x:c r="E104" s="40" t="str">
        <x:v>Complete</x:v>
      </x:c>
      <x:c r="F104" s="40" t="str">
        <x:v>Complete</x:v>
      </x:c>
      <x:c r="G104" s="40" t="str">
        <x:v>Partial</x:v>
      </x:c>
      <x:c r="H104" s="40" t="str">
        <x:v>Partial</x:v>
      </x:c>
      <x:c r="I104" s="40" t="str">
        <x:v>Not verified</x:v>
      </x:c>
      <x:c r="J104" s="40" t="str">
        <x:v>Missing</x:v>
      </x:c>
      <x:c r="K104" s="40" t="str">
        <x:v>Main</x:v>
      </x:c>
      <x:c r="L104" s="40" t="str">
        <x:v>Foundation built</x:v>
      </x:c>
      <x:c r="M104" s="40" t="str">
        <x:v>P2</x:v>
      </x:c>
      <x:c r="N104" s="41" t="n">
        <x:f>IF((7-COUNTIF(D104:J104,"N/A"))=0,0,(COUNTIF(D104:J104,"Complete")+0.5*COUNTIF(D104:J104,"Partial")+0.4*COUNTIF(D104:J104,"Open PR")+0.25*COUNTIF(D104:J104,"Not verified"))/(7-COUNTIF(D104:J104,"N/A")))</x:f>
        <x:v>0.6071428571428571</x:v>
      </x:c>
      <x:c r="O104" s="40" t="str">
        <x:v>Define Queensland first production jurisdiction pack</x:v>
      </x:c>
      <x:c r="P104" s="40" t="str">
        <x:v>Jurisdiction/regional tables exist.</x:v>
      </x:c>
      <x:c r="Q104" s="40" t="str">
        <x:v>https://github.com/kmwstudy88-ship-it/SafeStepsApp/blob/main/supabase/migrations/20260721232009_white_label_multi_tenant_platform_volume23.sql</x:v>
      </x:c>
    </x:row>
    <x:row r="105">
      <x:c r="A105" s="36" t="str">
        <x:v>TEN-008</x:v>
      </x:c>
      <x:c r="B105" s="40" t="str">
        <x:v>Multi-Service / Multi-Tenant</x:v>
      </x:c>
      <x:c r="C105" s="40" t="str">
        <x:v>White-label branding/custom domains</x:v>
      </x:c>
      <x:c r="D105" s="40" t="str">
        <x:v>Complete</x:v>
      </x:c>
      <x:c r="E105" s="40" t="str">
        <x:v>Complete</x:v>
      </x:c>
      <x:c r="F105" s="40" t="str">
        <x:v>Complete</x:v>
      </x:c>
      <x:c r="G105" s="40" t="str">
        <x:v>Partial</x:v>
      </x:c>
      <x:c r="H105" s="40" t="str">
        <x:v>Partial</x:v>
      </x:c>
      <x:c r="I105" s="40" t="str">
        <x:v>Not verified</x:v>
      </x:c>
      <x:c r="J105" s="40" t="str">
        <x:v>Missing</x:v>
      </x:c>
      <x:c r="K105" s="40" t="str">
        <x:v>Main</x:v>
      </x:c>
      <x:c r="L105" s="40" t="str">
        <x:v>Foundation built</x:v>
      </x:c>
      <x:c r="M105" s="40" t="str">
        <x:v>P3</x:v>
      </x:c>
      <x:c r="N105" s="41" t="n">
        <x:f>IF((7-COUNTIF(D105:J105,"N/A"))=0,0,(COUNTIF(D105:J105,"Complete")+0.5*COUNTIF(D105:J105,"Partial")+0.4*COUNTIF(D105:J105,"Open PR")+0.25*COUNTIF(D105:J105,"Not verified"))/(7-COUNTIF(D105:J105,"N/A")))</x:f>
        <x:v>0.6071428571428571</x:v>
      </x:c>
      <x:c r="O105" s="40" t="str">
        <x:v>Defer until core workflow stable; test one tenant theme</x:v>
      </x:c>
      <x:c r="P105" s="40" t="str">
        <x:v>Branding and tenant domain tables exist.</x:v>
      </x:c>
      <x:c r="Q105" s="40" t="str">
        <x:v>https://github.com/kmwstudy88-ship-it/SafeStepsApp/blob/main/supabase/migrations/20260721232009_white_label_multi_tenant_platform_volume23.sql</x:v>
      </x:c>
    </x:row>
    <x:row r="106">
      <x:c r="A106" s="36" t="str">
        <x:v>RPT-001</x:v>
      </x:c>
      <x:c r="B106" s="40" t="str">
        <x:v>Reporting &amp; Court Outputs</x:v>
      </x:c>
      <x:c r="C106" s="40" t="str">
        <x:v>Court-aware report builder engine</x:v>
      </x:c>
      <x:c r="D106" s="40" t="str">
        <x:v>Complete</x:v>
      </x:c>
      <x:c r="E106" s="40" t="str">
        <x:v>Complete</x:v>
      </x:c>
      <x:c r="F106" s="40" t="str">
        <x:v>Partial</x:v>
      </x:c>
      <x:c r="G106" s="40" t="str">
        <x:v>Partial</x:v>
      </x:c>
      <x:c r="H106" s="40" t="str">
        <x:v>Partial</x:v>
      </x:c>
      <x:c r="I106" s="40" t="str">
        <x:v>Complete</x:v>
      </x:c>
      <x:c r="J106" s="40" t="str">
        <x:v>Partial</x:v>
      </x:c>
      <x:c r="K106" s="40" t="str">
        <x:v>Main</x:v>
      </x:c>
      <x:c r="L106" s="40" t="str">
        <x:v>Substantial foundation</x:v>
      </x:c>
      <x:c r="M106" s="40" t="str">
        <x:v>P1</x:v>
      </x:c>
      <x:c r="N106" s="41" t="n">
        <x:f>IF((7-COUNTIF(D106:J106,"N/A"))=0,0,(COUNTIF(D106:J106,"Complete")+0.5*COUNTIF(D106:J106,"Partial")+0.4*COUNTIF(D106:J106,"Open PR")+0.25*COUNTIF(D106:J106,"Not verified"))/(7-COUNTIF(D106:J106,"N/A")))</x:f>
        <x:v>0.7142857142857143</x:v>
      </x:c>
      <x:c r="O106" s="40" t="str">
        <x:v>Connect only reviewed/live evidence and approval states</x:v>
      </x:c>
      <x:c r="P106" s="40" t="str">
        <x:v>Court report builder engine exists.</x:v>
      </x:c>
      <x:c r="Q106" s="40" t="str">
        <x:v>https://github.com/kmwstudy88-ship-it/SafeStepsApp/blob/main/docs/SAFESTEPS_FULL_SYSTEM_SUMMARY_2026-07-15.md</x:v>
      </x:c>
    </x:row>
    <x:row r="107">
      <x:c r="A107" s="36" t="str">
        <x:v>RPT-002</x:v>
      </x:c>
      <x:c r="B107" s="40" t="str">
        <x:v>Reporting &amp; Court Outputs</x:v>
      </x:c>
      <x:c r="C107" s="40" t="str">
        <x:v>Assessment report output screen</x:v>
      </x:c>
      <x:c r="D107" s="40" t="str">
        <x:v>Complete</x:v>
      </x:c>
      <x:c r="E107" s="40" t="str">
        <x:v>Complete</x:v>
      </x:c>
      <x:c r="F107" s="40" t="str">
        <x:v>Complete</x:v>
      </x:c>
      <x:c r="G107" s="40" t="str">
        <x:v>Complete</x:v>
      </x:c>
      <x:c r="H107" s="40" t="str">
        <x:v>Partial</x:v>
      </x:c>
      <x:c r="I107" s="40" t="str">
        <x:v>Complete</x:v>
      </x:c>
      <x:c r="J107" s="40" t="str">
        <x:v>Partial</x:v>
      </x:c>
      <x:c r="K107" s="40" t="str">
        <x:v>Main</x:v>
      </x:c>
      <x:c r="L107" s="40" t="str">
        <x:v>Partial</x:v>
      </x:c>
      <x:c r="M107" s="40" t="str">
        <x:v>P1</x:v>
      </x:c>
      <x:c r="N107" s="41" t="n">
        <x:f>IF((7-COUNTIF(D107:J107,"N/A"))=0,0,(COUNTIF(D107:J107,"Complete")+0.5*COUNTIF(D107:J107,"Partial")+0.4*COUNTIF(D107:J107,"Open PR")+0.25*COUNTIF(D107:J107,"Not verified"))/(7-COUNTIF(D107:J107,"N/A")))</x:f>
        <x:v>0.8571428571428571</x:v>
      </x:c>
      <x:c r="O107" s="40" t="str">
        <x:v>Replace remaining preview/calibration paths with live reviewed data</x:v>
      </x:c>
      <x:c r="P107" s="40" t="str">
        <x:v>Baseline explicitly noted calibration preview gap.</x:v>
      </x:c>
      <x:c r="Q107" s="40" t="str">
        <x:v>https://github.com/kmwstudy88-ship-it/SafeStepsApp/blob/main/docs/PRODUCTION_READY_BASELINE_2026-07-15.md</x:v>
      </x:c>
    </x:row>
    <x:row r="108">
      <x:c r="A108" s="36" t="str">
        <x:v>RPT-003</x:v>
      </x:c>
      <x:c r="B108" s="40" t="str">
        <x:v>Reporting &amp; Court Outputs</x:v>
      </x:c>
      <x:c r="C108" s="40" t="str">
        <x:v>Longitudinal reports</x:v>
      </x:c>
      <x:c r="D108" s="40" t="str">
        <x:v>Complete</x:v>
      </x:c>
      <x:c r="E108" s="40" t="str">
        <x:v>Complete</x:v>
      </x:c>
      <x:c r="F108" s="40" t="str">
        <x:v>Partial</x:v>
      </x:c>
      <x:c r="G108" s="40" t="str">
        <x:v>Complete</x:v>
      </x:c>
      <x:c r="H108" s="40" t="str">
        <x:v>Partial</x:v>
      </x:c>
      <x:c r="I108" s="40" t="str">
        <x:v>Not verified</x:v>
      </x:c>
      <x:c r="J108" s="40" t="str">
        <x:v>Missing</x:v>
      </x:c>
      <x:c r="K108" s="40" t="str">
        <x:v>Main</x:v>
      </x:c>
      <x:c r="L108" s="40" t="str">
        <x:v>Partial</x:v>
      </x:c>
      <x:c r="M108" s="40" t="str">
        <x:v>P1</x:v>
      </x:c>
      <x:c r="N108" s="41" t="n">
        <x:f>IF((7-COUNTIF(D108:J108,"N/A"))=0,0,(COUNTIF(D108:J108,"Complete")+0.5*COUNTIF(D108:J108,"Partial")+0.4*COUNTIF(D108:J108,"Open PR")+0.25*COUNTIF(D108:J108,"Not verified"))/(7-COUNTIF(D108:J108,"N/A")))</x:f>
        <x:v>0.6071428571428571</x:v>
      </x:c>
      <x:c r="O108" s="40" t="str">
        <x:v>Connect full timeline of assessments/evidence/services/visits</x:v>
      </x:c>
      <x:c r="P108" s="40" t="str">
        <x:v>Longitudinal report route exists.</x:v>
      </x:c>
      <x:c r="Q108" s="40" t="str">
        <x:v>https://github.com/kmwstudy88-ship-it/SafeStepsApp/blob/main/docs/SAFESTEPS_FULL_SYSTEM_SUMMARY_2026-07-15.md</x:v>
      </x:c>
    </x:row>
    <x:row r="109">
      <x:c r="A109" s="36" t="str">
        <x:v>RPT-004</x:v>
      </x:c>
      <x:c r="B109" s="40" t="str">
        <x:v>Reporting &amp; Court Outputs</x:v>
      </x:c>
      <x:c r="C109" s="40" t="str">
        <x:v>Report reviewer approval/sign-off</x:v>
      </x:c>
      <x:c r="D109" s="40" t="str">
        <x:v>Complete</x:v>
      </x:c>
      <x:c r="E109" s="40" t="str">
        <x:v>Partial</x:v>
      </x:c>
      <x:c r="F109" s="40" t="str">
        <x:v>Partial</x:v>
      </x:c>
      <x:c r="G109" s="40" t="str">
        <x:v>Partial</x:v>
      </x:c>
      <x:c r="H109" s="40" t="str">
        <x:v>Partial</x:v>
      </x:c>
      <x:c r="I109" s="40" t="str">
        <x:v>Not verified</x:v>
      </x:c>
      <x:c r="J109" s="40" t="str">
        <x:v>Missing</x:v>
      </x:c>
      <x:c r="K109" s="40" t="str">
        <x:v>Main</x:v>
      </x:c>
      <x:c r="L109" s="40" t="str">
        <x:v>Partial</x:v>
      </x:c>
      <x:c r="M109" s="40" t="str">
        <x:v>P1</x:v>
      </x:c>
      <x:c r="N109" s="41" t="n">
        <x:f>IF((7-COUNTIF(D109:J109,"N/A"))=0,0,(COUNTIF(D109:J109,"Complete")+0.5*COUNTIF(D109:J109,"Partial")+0.4*COUNTIF(D109:J109,"Open PR")+0.25*COUNTIF(D109:J109,"Not verified"))/(7-COUNTIF(D109:J109,"N/A")))</x:f>
        <x:v>0.4642857142857143</x:v>
      </x:c>
      <x:c r="O109" s="40" t="str">
        <x:v>Implement mandatory sign-off + immutable approval history</x:v>
      </x:c>
      <x:c r="P109" s="40" t="str">
        <x:v>Listed as remaining production work.</x:v>
      </x:c>
      <x:c r="Q109" s="40" t="str">
        <x:v>https://github.com/kmwstudy88-ship-it/SafeStepsApp/blob/main/docs/SAFESTEPS_FULL_SYSTEM_SUMMARY_2026-07-15.md</x:v>
      </x:c>
    </x:row>
    <x:row r="110">
      <x:c r="A110" s="36" t="str">
        <x:v>RPT-005</x:v>
      </x:c>
      <x:c r="B110" s="40" t="str">
        <x:v>Reporting &amp; Court Outputs</x:v>
      </x:c>
      <x:c r="C110" s="40" t="str">
        <x:v>Report export/document generation</x:v>
      </x:c>
      <x:c r="D110" s="40" t="str">
        <x:v>Complete</x:v>
      </x:c>
      <x:c r="E110" s="40" t="str">
        <x:v>Partial</x:v>
      </x:c>
      <x:c r="F110" s="40" t="str">
        <x:v>Partial</x:v>
      </x:c>
      <x:c r="G110" s="40" t="str">
        <x:v>Partial</x:v>
      </x:c>
      <x:c r="H110" s="40" t="str">
        <x:v>Partial</x:v>
      </x:c>
      <x:c r="I110" s="40" t="str">
        <x:v>Not verified</x:v>
      </x:c>
      <x:c r="J110" s="40" t="str">
        <x:v>Missing</x:v>
      </x:c>
      <x:c r="K110" s="40" t="str">
        <x:v>Main</x:v>
      </x:c>
      <x:c r="L110" s="40" t="str">
        <x:v>Partial</x:v>
      </x:c>
      <x:c r="M110" s="40" t="str">
        <x:v>P1</x:v>
      </x:c>
      <x:c r="N110" s="41" t="n">
        <x:f>IF((7-COUNTIF(D110:J110,"N/A"))=0,0,(COUNTIF(D110:J110,"Complete")+0.5*COUNTIF(D110:J110,"Partial")+0.4*COUNTIF(D110:J110,"Open PR")+0.25*COUNTIF(D110:J110,"Not verified"))/(7-COUNTIF(D110:J110,"N/A")))</x:f>
        <x:v>0.4642857142857143</x:v>
      </x:c>
      <x:c r="O110" s="40" t="str">
        <x:v>Verify PDF/export permissions, watermark/version/audit history</x:v>
      </x:c>
      <x:c r="P110" s="40" t="str">
        <x:v>Reporting foundations exist; release export not verified.</x:v>
      </x:c>
      <x:c r="Q110" s="40" t="str">
        <x:v>https://github.com/kmwstudy88-ship-it/SafeStepsApp/blob/main/docs/SAFESTEPS_FULL_SYSTEM_SUMMARY_2026-07-15.md</x:v>
      </x:c>
    </x:row>
    <x:row r="111">
      <x:c r="A111" s="36" t="str">
        <x:v>RPT-006</x:v>
      </x:c>
      <x:c r="B111" s="40" t="str">
        <x:v>Reporting &amp; Court Outputs</x:v>
      </x:c>
      <x:c r="C111" s="40" t="str">
        <x:v>Evidence-source traceability in reports</x:v>
      </x:c>
      <x:c r="D111" s="40" t="str">
        <x:v>Complete</x:v>
      </x:c>
      <x:c r="E111" s="40" t="str">
        <x:v>Partial</x:v>
      </x:c>
      <x:c r="F111" s="40" t="str">
        <x:v>Partial</x:v>
      </x:c>
      <x:c r="G111" s="40" t="str">
        <x:v>Partial</x:v>
      </x:c>
      <x:c r="H111" s="40" t="str">
        <x:v>Partial</x:v>
      </x:c>
      <x:c r="I111" s="40" t="str">
        <x:v>Not verified</x:v>
      </x:c>
      <x:c r="J111" s="40" t="str">
        <x:v>Missing</x:v>
      </x:c>
      <x:c r="K111" s="40" t="str">
        <x:v>Main</x:v>
      </x:c>
      <x:c r="L111" s="40" t="str">
        <x:v>Partial</x:v>
      </x:c>
      <x:c r="M111" s="40" t="str">
        <x:v>P1</x:v>
      </x:c>
      <x:c r="N111" s="41" t="n">
        <x:f>IF((7-COUNTIF(D111:J111,"N/A"))=0,0,(COUNTIF(D111:J111,"Complete")+0.5*COUNTIF(D111:J111,"Partial")+0.4*COUNTIF(D111:J111,"Open PR")+0.25*COUNTIF(D111:J111,"Not verified"))/(7-COUNTIF(D111:J111,"N/A")))</x:f>
        <x:v>0.4642857142857143</x:v>
      </x:c>
      <x:c r="O111" s="40" t="str">
        <x:v>Attach source IDs and limits to each material report claim</x:v>
      </x:c>
      <x:c r="P111" s="40" t="str">
        <x:v>Court/report design calls for evidence-source transparency.</x:v>
      </x:c>
      <x:c r="Q111" s="40" t="str">
        <x:v>https://github.com/kmwstudy88-ship-it/SafeStepsApp/blob/main/docs/SAFESTEPS_FULL_SYSTEM_SUMMARY_2026-07-15.md</x:v>
      </x:c>
    </x:row>
    <x:row r="112">
      <x:c r="A112" s="36" t="str">
        <x:v>SEC-001</x:v>
      </x:c>
      <x:c r="B112" s="40" t="str">
        <x:v>Security, Privacy &amp; Governance</x:v>
      </x:c>
      <x:c r="C112" s="40" t="str">
        <x:v>Sensitive route case-membership guards</x:v>
      </x:c>
      <x:c r="D112" s="40" t="str">
        <x:v>Complete</x:v>
      </x:c>
      <x:c r="E112" s="40" t="str">
        <x:v>Complete</x:v>
      </x:c>
      <x:c r="F112" s="40" t="str">
        <x:v>Complete</x:v>
      </x:c>
      <x:c r="G112" s="40" t="str">
        <x:v>Complete</x:v>
      </x:c>
      <x:c r="H112" s="40" t="str">
        <x:v>Complete</x:v>
      </x:c>
      <x:c r="I112" s="40" t="str">
        <x:v>Complete</x:v>
      </x:c>
      <x:c r="J112" s="40" t="str">
        <x:v>Partial</x:v>
      </x:c>
      <x:c r="K112" s="40" t="str">
        <x:v>Main</x:v>
      </x:c>
      <x:c r="L112" s="40" t="str">
        <x:v>Substantial</x:v>
      </x:c>
      <x:c r="M112" s="40" t="str">
        <x:v>P1</x:v>
      </x:c>
      <x:c r="N112" s="41" t="n">
        <x:f>IF((7-COUNTIF(D112:J112,"N/A"))=0,0,(COUNTIF(D112:J112,"Complete")+0.5*COUNTIF(D112:J112,"Partial")+0.4*COUNTIF(D112:J112,"Open PR")+0.25*COUNTIF(D112:J112,"Not verified"))/(7-COUNTIF(D112:J112,"N/A")))</x:f>
        <x:v>0.9285714285714286</x:v>
      </x:c>
      <x:c r="O112" s="40" t="str">
        <x:v>Keep regression tests in release gate</x:v>
      </x:c>
      <x:c r="P112" s="40" t="str">
        <x:v>Merged PR #8.</x:v>
      </x:c>
      <x:c r="Q112" s="40" t="str">
        <x:v>https://github.com/kmwstudy88-ship-it/SafeStepsApp/pull/8</x:v>
      </x:c>
    </x:row>
    <x:row r="113">
      <x:c r="A113" s="36" t="str">
        <x:v>SEC-002</x:v>
      </x:c>
      <x:c r="B113" s="40" t="str">
        <x:v>Security, Privacy &amp; Governance</x:v>
      </x:c>
      <x:c r="C113" s="40" t="str">
        <x:v>Sensitive action audit events</x:v>
      </x:c>
      <x:c r="D113" s="40" t="str">
        <x:v>Complete</x:v>
      </x:c>
      <x:c r="E113" s="40" t="str">
        <x:v>Complete</x:v>
      </x:c>
      <x:c r="F113" s="40" t="str">
        <x:v>Complete</x:v>
      </x:c>
      <x:c r="G113" s="40" t="str">
        <x:v>Partial</x:v>
      </x:c>
      <x:c r="H113" s="40" t="str">
        <x:v>Complete</x:v>
      </x:c>
      <x:c r="I113" s="40" t="str">
        <x:v>Complete</x:v>
      </x:c>
      <x:c r="J113" s="40" t="str">
        <x:v>Partial</x:v>
      </x:c>
      <x:c r="K113" s="40" t="str">
        <x:v>Main</x:v>
      </x:c>
      <x:c r="L113" s="40" t="str">
        <x:v>Substantial</x:v>
      </x:c>
      <x:c r="M113" s="40" t="str">
        <x:v>P1</x:v>
      </x:c>
      <x:c r="N113" s="41" t="n">
        <x:f>IF((7-COUNTIF(D113:J113,"N/A"))=0,0,(COUNTIF(D113:J113,"Complete")+0.5*COUNTIF(D113:J113,"Partial")+0.4*COUNTIF(D113:J113,"Open PR")+0.25*COUNTIF(D113:J113,"Not verified"))/(7-COUNTIF(D113:J113,"N/A")))</x:f>
        <x:v>0.8571428571428571</x:v>
      </x:c>
      <x:c r="O113" s="40" t="str">
        <x:v>Verify audit coverage for all high-risk writes/views</x:v>
      </x:c>
      <x:c r="P113" s="40" t="str">
        <x:v>Merged PR #8.</x:v>
      </x:c>
      <x:c r="Q113" s="40" t="str">
        <x:v>https://github.com/kmwstudy88-ship-it/SafeStepsApp/pull/8</x:v>
      </x:c>
    </x:row>
    <x:row r="114">
      <x:c r="A114" s="36" t="str">
        <x:v>SEC-003</x:v>
      </x:c>
      <x:c r="B114" s="40" t="str">
        <x:v>Security, Privacy &amp; Governance</x:v>
      </x:c>
      <x:c r="C114" s="40" t="str">
        <x:v>Backend bearer auth / CORS hardening</x:v>
      </x:c>
      <x:c r="D114" s="40" t="str">
        <x:v>Complete</x:v>
      </x:c>
      <x:c r="E114" s="40" t="str">
        <x:v>Complete</x:v>
      </x:c>
      <x:c r="F114" s="40" t="str">
        <x:v>Partial</x:v>
      </x:c>
      <x:c r="G114" s="40" t="str">
        <x:v>Partial</x:v>
      </x:c>
      <x:c r="H114" s="40" t="str">
        <x:v>Complete</x:v>
      </x:c>
      <x:c r="I114" s="40" t="str">
        <x:v>Complete</x:v>
      </x:c>
      <x:c r="J114" s="40" t="str">
        <x:v>Partial</x:v>
      </x:c>
      <x:c r="K114" s="40" t="str">
        <x:v>Main</x:v>
      </x:c>
      <x:c r="L114" s="40" t="str">
        <x:v>Substantial</x:v>
      </x:c>
      <x:c r="M114" s="40" t="str">
        <x:v>P1</x:v>
      </x:c>
      <x:c r="N114" s="41" t="n">
        <x:f>IF((7-COUNTIF(D114:J114,"N/A"))=0,0,(COUNTIF(D114:J114,"Complete")+0.5*COUNTIF(D114:J114,"Partial")+0.4*COUNTIF(D114:J114,"Open PR")+0.25*COUNTIF(D114:J114,"Not verified"))/(7-COUNTIF(D114:J114,"N/A")))</x:f>
        <x:v>0.7857142857142857</x:v>
      </x:c>
      <x:c r="O114" s="40" t="str">
        <x:v>Re-test after PR #19 merge</x:v>
      </x:c>
      <x:c r="P114" s="40" t="str">
        <x:v>Merged PR #12 hardened backend access.</x:v>
      </x:c>
      <x:c r="Q114" s="40" t="str">
        <x:v>https://github.com/kmwstudy88-ship-it/SafeStepsApp/pull/12</x:v>
      </x:c>
    </x:row>
    <x:row r="115">
      <x:c r="A115" s="36" t="str">
        <x:v>SEC-004</x:v>
      </x:c>
      <x:c r="B115" s="40" t="str">
        <x:v>Security, Privacy &amp; Governance</x:v>
      </x:c>
      <x:c r="C115" s="40" t="str">
        <x:v>Secret hygiene / Gitleaks / env baseline</x:v>
      </x:c>
      <x:c r="D115" s="40" t="str">
        <x:v>Complete</x:v>
      </x:c>
      <x:c r="E115" s="40" t="str">
        <x:v>Open PR</x:v>
      </x:c>
      <x:c r="F115" s="40" t="str">
        <x:v>N/A</x:v>
      </x:c>
      <x:c r="G115" s="40" t="str">
        <x:v>N/A</x:v>
      </x:c>
      <x:c r="H115" s="40" t="str">
        <x:v>Open PR</x:v>
      </x:c>
      <x:c r="I115" s="40" t="str">
        <x:v>Open PR</x:v>
      </x:c>
      <x:c r="J115" s="40" t="str">
        <x:v>Missing</x:v>
      </x:c>
      <x:c r="K115" s="40" t="str">
        <x:v>PR #20</x:v>
      </x:c>
      <x:c r="L115" s="40" t="str">
        <x:v>Built but unmerged</x:v>
      </x:c>
      <x:c r="M115" s="40" t="str">
        <x:v>P1</x:v>
      </x:c>
      <x:c r="N115" s="41" t="n">
        <x:f>IF((7-COUNTIF(D115:J115,"N/A"))=0,0,(COUNTIF(D115:J115,"Complete")+0.5*COUNTIF(D115:J115,"Partial")+0.4*COUNTIF(D115:J115,"Open PR")+0.25*COUNTIF(D115:J115,"Not verified"))/(7-COUNTIF(D115:J115,"N/A")))</x:f>
        <x:v>0.44000000000000006</x:v>
      </x:c>
      <x:c r="O115" s="40" t="str">
        <x:v>Review and merge PR #20, rotate any exposed credentials if needed</x:v>
      </x:c>
      <x:c r="P115" s="40" t="str">
        <x:v>Open PR #20 adds secret scanning and safer env management.</x:v>
      </x:c>
      <x:c r="Q115" s="40" t="str">
        <x:v>https://github.com/kmwstudy88-ship-it/SafeStepsApp/pull/20</x:v>
      </x:c>
    </x:row>
    <x:row r="116">
      <x:c r="A116" s="36" t="str">
        <x:v>SEC-005</x:v>
      </x:c>
      <x:c r="B116" s="40" t="str">
        <x:v>Security, Privacy &amp; Governance</x:v>
      </x:c>
      <x:c r="C116" s="40" t="str">
        <x:v>Privacy / retention / export / deletion workflows</x:v>
      </x:c>
      <x:c r="D116" s="40" t="str">
        <x:v>Complete</x:v>
      </x:c>
      <x:c r="E116" s="40" t="str">
        <x:v>Partial</x:v>
      </x:c>
      <x:c r="F116" s="40" t="str">
        <x:v>Partial</x:v>
      </x:c>
      <x:c r="G116" s="40" t="str">
        <x:v>Partial</x:v>
      </x:c>
      <x:c r="H116" s="40" t="str">
        <x:v>Partial</x:v>
      </x:c>
      <x:c r="I116" s="40" t="str">
        <x:v>Not verified</x:v>
      </x:c>
      <x:c r="J116" s="40" t="str">
        <x:v>Missing</x:v>
      </x:c>
      <x:c r="K116" s="40" t="str">
        <x:v>Main</x:v>
      </x:c>
      <x:c r="L116" s="40" t="str">
        <x:v>Incomplete</x:v>
      </x:c>
      <x:c r="M116" s="40" t="str">
        <x:v>P1</x:v>
      </x:c>
      <x:c r="N116" s="41" t="n">
        <x:f>IF((7-COUNTIF(D116:J116,"N/A"))=0,0,(COUNTIF(D116:J116,"Complete")+0.5*COUNTIF(D116:J116,"Partial")+0.4*COUNTIF(D116:J116,"Open PR")+0.25*COUNTIF(D116:J116,"Not verified"))/(7-COUNTIF(D116:J116,"N/A")))</x:f>
        <x:v>0.4642857142857143</x:v>
      </x:c>
      <x:c r="O116" s="40" t="str">
        <x:v>Complete policy + user workflows before real public launch</x:v>
      </x:c>
      <x:c r="P116" s="40" t="str">
        <x:v>Repository lists this as remaining production work.</x:v>
      </x:c>
      <x:c r="Q116" s="40" t="str">
        <x:v>https://github.com/kmwstudy88-ship-it/SafeStepsApp/blob/main/docs/SAFESTEPS_FULL_SYSTEM_SUMMARY_2026-07-15.md</x:v>
      </x:c>
    </x:row>
    <x:row r="117">
      <x:c r="A117" s="36" t="str">
        <x:v>SEC-006</x:v>
      </x:c>
      <x:c r="B117" s="40" t="str">
        <x:v>Security, Privacy &amp; Governance</x:v>
      </x:c>
      <x:c r="C117" s="40" t="str">
        <x:v>Child safeguarding / communication review workflow</x:v>
      </x:c>
      <x:c r="D117" s="40" t="str">
        <x:v>Complete</x:v>
      </x:c>
      <x:c r="E117" s="40" t="str">
        <x:v>Partial</x:v>
      </x:c>
      <x:c r="F117" s="40" t="str">
        <x:v>Partial</x:v>
      </x:c>
      <x:c r="G117" s="40" t="str">
        <x:v>Partial</x:v>
      </x:c>
      <x:c r="H117" s="40" t="str">
        <x:v>Partial</x:v>
      </x:c>
      <x:c r="I117" s="40" t="str">
        <x:v>Not verified</x:v>
      </x:c>
      <x:c r="J117" s="40" t="str">
        <x:v>Missing</x:v>
      </x:c>
      <x:c r="K117" s="40" t="str">
        <x:v>Main</x:v>
      </x:c>
      <x:c r="L117" s="40" t="str">
        <x:v>Incomplete</x:v>
      </x:c>
      <x:c r="M117" s="40" t="str">
        <x:v>P1</x:v>
      </x:c>
      <x:c r="N117" s="41" t="n">
        <x:f>IF((7-COUNTIF(D117:J117,"N/A"))=0,0,(COUNTIF(D117:J117,"Complete")+0.5*COUNTIF(D117:J117,"Partial")+0.4*COUNTIF(D117:J117,"Open PR")+0.25*COUNTIF(D117:J117,"Not verified"))/(7-COUNTIF(D117:J117,"N/A")))</x:f>
        <x:v>0.4642857142857143</x:v>
      </x:c>
      <x:c r="O117" s="40" t="str">
        <x:v>Complete moderation/escalation/supervision policy and tests</x:v>
      </x:c>
      <x:c r="P117" s="40" t="str">
        <x:v>Repository lists communication safety review as next build work.</x:v>
      </x:c>
      <x:c r="Q117" s="40" t="str">
        <x:v>https://github.com/kmwstudy88-ship-it/SafeStepsApp/blob/main/docs/SAFESTEPS_FULL_SYSTEM_SUMMARY_2026-07-15.md</x:v>
      </x:c>
    </x:row>
    <x:row r="118">
      <x:c r="A118" s="36" t="str">
        <x:v>SEC-007</x:v>
      </x:c>
      <x:c r="B118" s="40" t="str">
        <x:v>Security, Privacy &amp; Governance</x:v>
      </x:c>
      <x:c r="C118" s="40" t="str">
        <x:v>Assessment licensing / qualified assessor controls</x:v>
      </x:c>
      <x:c r="D118" s="40" t="str">
        <x:v>Complete</x:v>
      </x:c>
      <x:c r="E118" s="40" t="str">
        <x:v>Partial</x:v>
      </x:c>
      <x:c r="F118" s="40" t="str">
        <x:v>Partial</x:v>
      </x:c>
      <x:c r="G118" s="40" t="str">
        <x:v>Partial</x:v>
      </x:c>
      <x:c r="H118" s="40" t="str">
        <x:v>Partial</x:v>
      </x:c>
      <x:c r="I118" s="40" t="str">
        <x:v>Not verified</x:v>
      </x:c>
      <x:c r="J118" s="40" t="str">
        <x:v>Missing</x:v>
      </x:c>
      <x:c r="K118" s="40" t="str">
        <x:v>Main</x:v>
      </x:c>
      <x:c r="L118" s="40" t="str">
        <x:v>Incomplete</x:v>
      </x:c>
      <x:c r="M118" s="40" t="str">
        <x:v>P1</x:v>
      </x:c>
      <x:c r="N118" s="41" t="n">
        <x:f>IF((7-COUNTIF(D118:J118,"N/A"))=0,0,(COUNTIF(D118:J118,"Complete")+0.5*COUNTIF(D118:J118,"Partial")+0.4*COUNTIF(D118:J118,"Open PR")+0.25*COUNTIF(D118:J118,"Not verified"))/(7-COUNTIF(D118:J118,"N/A")))</x:f>
        <x:v>0.4642857142857143</x:v>
      </x:c>
      <x:c r="O118" s="40" t="str">
        <x:v>Classify every instrument: app-native, licensed, external-only; enforce roles</x:v>
      </x:c>
      <x:c r="P118" s="40" t="str">
        <x:v>Assessment docs warn against copying restricted tools/scoring.</x:v>
      </x:c>
      <x:c r="Q118" s="40" t="str">
        <x:v>https://github.com/kmwstudy88-ship-it/SafeStepsApp/blob/main/docs/MASTER_BUILD_RECONCILIATION.md</x:v>
      </x:c>
    </x:row>
    <x:row r="119">
      <x:c r="A119" s="36" t="str">
        <x:v>REL-001</x:v>
      </x:c>
      <x:c r="B119" s="40" t="str">
        <x:v>Release, QA &amp; Operations</x:v>
      </x:c>
      <x:c r="C119" s="40" t="str">
        <x:v>TypeScript/lint/unit-test baseline</x:v>
      </x:c>
      <x:c r="D119" s="40" t="str">
        <x:v>Complete</x:v>
      </x:c>
      <x:c r="E119" s="40" t="str">
        <x:v>Complete</x:v>
      </x:c>
      <x:c r="F119" s="40" t="str">
        <x:v>N/A</x:v>
      </x:c>
      <x:c r="G119" s="40" t="str">
        <x:v>N/A</x:v>
      </x:c>
      <x:c r="H119" s="40" t="str">
        <x:v>Complete</x:v>
      </x:c>
      <x:c r="I119" s="40" t="str">
        <x:v>Complete</x:v>
      </x:c>
      <x:c r="J119" s="40" t="str">
        <x:v>Partial</x:v>
      </x:c>
      <x:c r="K119" s="40" t="str">
        <x:v>Main</x:v>
      </x:c>
      <x:c r="L119" s="40" t="str">
        <x:v>Strong baseline</x:v>
      </x:c>
      <x:c r="M119" s="40" t="str">
        <x:v>P1</x:v>
      </x:c>
      <x:c r="N119" s="41" t="n">
        <x:f>IF((7-COUNTIF(D119:J119,"N/A"))=0,0,(COUNTIF(D119:J119,"Complete")+0.5*COUNTIF(D119:J119,"Partial")+0.4*COUNTIF(D119:J119,"Open PR")+0.25*COUNTIF(D119:J119,"Not verified"))/(7-COUNTIF(D119:J119,"N/A")))</x:f>
        <x:v>0.9</x:v>
      </x:c>
      <x:c r="O119" s="40" t="str">
        <x:v>Re-run entire gate after merging open PRs</x:v>
      </x:c>
      <x:c r="P119" s="40" t="str">
        <x:v>2026-07-15 baseline: TS, lint, 36 suites/206 tests passed.</x:v>
      </x:c>
      <x:c r="Q119" s="40" t="str">
        <x:v>https://github.com/kmwstudy88-ship-it/SafeStepsApp/blob/main/docs/SAFESTEPS_FULL_SYSTEM_SUMMARY_2026-07-15.md</x:v>
      </x:c>
    </x:row>
    <x:row r="120">
      <x:c r="A120" s="36" t="str">
        <x:v>REL-002</x:v>
      </x:c>
      <x:c r="B120" s="40" t="str">
        <x:v>Release, QA &amp; Operations</x:v>
      </x:c>
      <x:c r="C120" s="40" t="str">
        <x:v>Backend automated tests</x:v>
      </x:c>
      <x:c r="D120" s="40" t="str">
        <x:v>Complete</x:v>
      </x:c>
      <x:c r="E120" s="40" t="str">
        <x:v>Complete</x:v>
      </x:c>
      <x:c r="F120" s="40" t="str">
        <x:v>N/A</x:v>
      </x:c>
      <x:c r="G120" s="40" t="str">
        <x:v>N/A</x:v>
      </x:c>
      <x:c r="H120" s="40" t="str">
        <x:v>Complete</x:v>
      </x:c>
      <x:c r="I120" s="40" t="str">
        <x:v>Complete</x:v>
      </x:c>
      <x:c r="J120" s="40" t="str">
        <x:v>Partial</x:v>
      </x:c>
      <x:c r="K120" s="40" t="str">
        <x:v>Main + PR19</x:v>
      </x:c>
      <x:c r="L120" s="40" t="str">
        <x:v>Strong baseline</x:v>
      </x:c>
      <x:c r="M120" s="40" t="str">
        <x:v>P1</x:v>
      </x:c>
      <x:c r="N120" s="41" t="n">
        <x:f>IF((7-COUNTIF(D120:J120,"N/A"))=0,0,(COUNTIF(D120:J120,"Complete")+0.5*COUNTIF(D120:J120,"Partial")+0.4*COUNTIF(D120:J120,"Open PR")+0.25*COUNTIF(D120:J120,"Not verified"))/(7-COUNTIF(D120:J120,"N/A")))</x:f>
        <x:v>0.9</x:v>
      </x:c>
      <x:c r="O120" s="40" t="str">
        <x:v>Use PR #19 expanded backend suite as merge gate</x:v>
      </x:c>
      <x:c r="P120" s="40" t="str">
        <x:v>Baseline had backend tests; PR #19 reports 4 suites/12 tests.</x:v>
      </x:c>
      <x:c r="Q120" s="40" t="str">
        <x:v>https://github.com/kmwstudy88-ship-it/SafeStepsApp/pull/19</x:v>
      </x:c>
    </x:row>
    <x:row r="121">
      <x:c r="A121" s="36" t="str">
        <x:v>REL-003</x:v>
      </x:c>
      <x:c r="B121" s="40" t="str">
        <x:v>Release, QA &amp; Operations</x:v>
      </x:c>
      <x:c r="C121" s="40" t="str">
        <x:v>Supabase migration verification</x:v>
      </x:c>
      <x:c r="D121" s="40" t="str">
        <x:v>Complete</x:v>
      </x:c>
      <x:c r="E121" s="40" t="str">
        <x:v>Complete</x:v>
      </x:c>
      <x:c r="F121" s="40" t="str">
        <x:v>Complete</x:v>
      </x:c>
      <x:c r="G121" s="40" t="str">
        <x:v>N/A</x:v>
      </x:c>
      <x:c r="H121" s="40" t="str">
        <x:v>Partial</x:v>
      </x:c>
      <x:c r="I121" s="40" t="str">
        <x:v>Not verified</x:v>
      </x:c>
      <x:c r="J121" s="40" t="str">
        <x:v>Missing</x:v>
      </x:c>
      <x:c r="K121" s="40" t="str">
        <x:v>Main</x:v>
      </x:c>
      <x:c r="L121" s="40" t="str">
        <x:v>Needs verification</x:v>
      </x:c>
      <x:c r="M121" s="40" t="str">
        <x:v>P1</x:v>
      </x:c>
      <x:c r="N121" s="41" t="n">
        <x:f>IF((7-COUNTIF(D121:J121,"N/A"))=0,0,(COUNTIF(D121:J121,"Complete")+0.5*COUNTIF(D121:J121,"Partial")+0.4*COUNTIF(D121:J121,"Open PR")+0.25*COUNTIF(D121:J121,"Not verified"))/(7-COUNTIF(D121:J121,"N/A")))</x:f>
        <x:v>0.625</x:v>
      </x:c>
      <x:c r="O121" s="40" t="str">
        <x:v>Compare repo migration list to linked production Supabase and apply pending</x:v>
      </x:c>
      <x:c r="P121" s="40" t="str">
        <x:v>Repository repeatedly notes pending migrations must be applied/verified.</x:v>
      </x:c>
      <x:c r="Q121" s="40" t="str">
        <x:v>https://github.com/kmwstudy88-ship-it/SafeStepsApp/blob/main/docs/SAFESTEPS_FULL_SYSTEM_SUMMARY_2026-07-15.md</x:v>
      </x:c>
    </x:row>
    <x:row r="122">
      <x:c r="A122" s="36" t="str">
        <x:v>REL-004</x:v>
      </x:c>
      <x:c r="B122" s="40" t="str">
        <x:v>Release, QA &amp; Operations</x:v>
      </x:c>
      <x:c r="C122" s="40" t="str">
        <x:v>Production backend hosting</x:v>
      </x:c>
      <x:c r="D122" s="40" t="str">
        <x:v>Complete</x:v>
      </x:c>
      <x:c r="E122" s="40" t="str">
        <x:v>Partial</x:v>
      </x:c>
      <x:c r="F122" s="40" t="str">
        <x:v>Partial</x:v>
      </x:c>
      <x:c r="G122" s="40" t="str">
        <x:v>N/A</x:v>
      </x:c>
      <x:c r="H122" s="40" t="str">
        <x:v>Partial</x:v>
      </x:c>
      <x:c r="I122" s="40" t="str">
        <x:v>Not verified</x:v>
      </x:c>
      <x:c r="J122" s="40" t="str">
        <x:v>Missing</x:v>
      </x:c>
      <x:c r="K122" s="40" t="str">
        <x:v>Main</x:v>
      </x:c>
      <x:c r="L122" s="40" t="str">
        <x:v>Incomplete</x:v>
      </x:c>
      <x:c r="M122" s="40" t="str">
        <x:v>P1</x:v>
      </x:c>
      <x:c r="N122" s="41" t="n">
        <x:f>IF((7-COUNTIF(D122:J122,"N/A"))=0,0,(COUNTIF(D122:J122,"Complete")+0.5*COUNTIF(D122:J122,"Partial")+0.4*COUNTIF(D122:J122,"Open PR")+0.25*COUNTIF(D122:J122,"Not verified"))/(7-COUNTIF(D122:J122,"N/A")))</x:f>
        <x:v>0.4583333333333333</x:v>
      </x:c>
      <x:c r="O122" s="40" t="str">
        <x:v>Deploy API backend and configure production URL/secrets</x:v>
      </x:c>
      <x:c r="P122" s="40" t="str">
        <x:v>Explicit remaining production work.</x:v>
      </x:c>
      <x:c r="Q122" s="40" t="str">
        <x:v>https://github.com/kmwstudy88-ship-it/SafeStepsApp/blob/main/docs/PRODUCTION_READY_BASELINE_2026-07-15.md</x:v>
      </x:c>
    </x:row>
    <x:row r="123">
      <x:c r="A123" s="36" t="str">
        <x:v>REL-005</x:v>
      </x:c>
      <x:c r="B123" s="40" t="str">
        <x:v>Release, QA &amp; Operations</x:v>
      </x:c>
      <x:c r="C123" s="40" t="str">
        <x:v>Android production build/device QA</x:v>
      </x:c>
      <x:c r="D123" s="40" t="str">
        <x:v>Complete</x:v>
      </x:c>
      <x:c r="E123" s="40" t="str">
        <x:v>Partial</x:v>
      </x:c>
      <x:c r="F123" s="40" t="str">
        <x:v>N/A</x:v>
      </x:c>
      <x:c r="G123" s="40" t="str">
        <x:v>Complete</x:v>
      </x:c>
      <x:c r="H123" s="40" t="str">
        <x:v>Partial</x:v>
      </x:c>
      <x:c r="I123" s="40" t="str">
        <x:v>Not verified</x:v>
      </x:c>
      <x:c r="J123" s="40" t="str">
        <x:v>Missing</x:v>
      </x:c>
      <x:c r="K123" s="40" t="str">
        <x:v>Main</x:v>
      </x:c>
      <x:c r="L123" s="40" t="str">
        <x:v>Incomplete</x:v>
      </x:c>
      <x:c r="M123" s="40" t="str">
        <x:v>P1</x:v>
      </x:c>
      <x:c r="N123" s="41" t="n">
        <x:f>IF((7-COUNTIF(D123:J123,"N/A"))=0,0,(COUNTIF(D123:J123,"Complete")+0.5*COUNTIF(D123:J123,"Partial")+0.4*COUNTIF(D123:J123,"Open PR")+0.25*COUNTIF(D123:J123,"Not verified"))/(7-COUNTIF(D123:J123,"N/A")))</x:f>
        <x:v>0.5416666666666666</x:v>
      </x:c>
      <x:c r="O123" s="40" t="str">
        <x:v>Complete fresh production build and real-device test matrix</x:v>
      </x:c>
      <x:c r="P123" s="40" t="str">
        <x:v>EAS build work exists historically; current release QA not verified.</x:v>
      </x:c>
      <x:c r="Q123" s="40" t="str">
        <x:v>https://github.com/kmwstudy88-ship-it/SafeStepsApp/blob/main/docs/SAFESTEPS_FULL_SYSTEM_SUMMARY_2026-07-15.md</x:v>
      </x:c>
    </x:row>
    <x:row r="124">
      <x:c r="A124" s="36" t="str">
        <x:v>REL-006</x:v>
      </x:c>
      <x:c r="B124" s="40" t="str">
        <x:v>Release, QA &amp; Operations</x:v>
      </x:c>
      <x:c r="C124" s="40" t="str">
        <x:v>iOS production build/device QA</x:v>
      </x:c>
      <x:c r="D124" s="40" t="str">
        <x:v>Complete</x:v>
      </x:c>
      <x:c r="E124" s="40" t="str">
        <x:v>Partial</x:v>
      </x:c>
      <x:c r="F124" s="40" t="str">
        <x:v>N/A</x:v>
      </x:c>
      <x:c r="G124" s="40" t="str">
        <x:v>Complete</x:v>
      </x:c>
      <x:c r="H124" s="40" t="str">
        <x:v>Partial</x:v>
      </x:c>
      <x:c r="I124" s="40" t="str">
        <x:v>Not verified</x:v>
      </x:c>
      <x:c r="J124" s="40" t="str">
        <x:v>Missing</x:v>
      </x:c>
      <x:c r="K124" s="40" t="str">
        <x:v>Main</x:v>
      </x:c>
      <x:c r="L124" s="40" t="str">
        <x:v>Incomplete</x:v>
      </x:c>
      <x:c r="M124" s="40" t="str">
        <x:v>P2</x:v>
      </x:c>
      <x:c r="N124" s="41" t="n">
        <x:f>IF((7-COUNTIF(D124:J124,"N/A"))=0,0,(COUNTIF(D124:J124,"Complete")+0.5*COUNTIF(D124:J124,"Partial")+0.4*COUNTIF(D124:J124,"Open PR")+0.25*COUNTIF(D124:J124,"Not verified"))/(7-COUNTIF(D124:J124,"N/A")))</x:f>
        <x:v>0.5416666666666666</x:v>
      </x:c>
      <x:c r="O124" s="40" t="str">
        <x:v>Create/test iOS build and deep-link/auth/media flows</x:v>
      </x:c>
      <x:c r="P124" s="40" t="str">
        <x:v>Native-device QA explicitly remains.</x:v>
      </x:c>
      <x:c r="Q124" s="40" t="str">
        <x:v>https://github.com/kmwstudy88-ship-it/SafeStepsApp/blob/main/docs/SAFESTEPS_FULL_SYSTEM_SUMMARY_2026-07-15.md</x:v>
      </x:c>
    </x:row>
    <x:row r="125">
      <x:c r="A125" s="36" t="str">
        <x:v>REL-007</x:v>
      </x:c>
      <x:c r="B125" s="40" t="str">
        <x:v>Release, QA &amp; Operations</x:v>
      </x:c>
      <x:c r="C125" s="40" t="str">
        <x:v>Web production build/browser QA</x:v>
      </x:c>
      <x:c r="D125" s="40" t="str">
        <x:v>Complete</x:v>
      </x:c>
      <x:c r="E125" s="40" t="str">
        <x:v>Partial</x:v>
      </x:c>
      <x:c r="F125" s="40" t="str">
        <x:v>N/A</x:v>
      </x:c>
      <x:c r="G125" s="40" t="str">
        <x:v>Complete</x:v>
      </x:c>
      <x:c r="H125" s="40" t="str">
        <x:v>Partial</x:v>
      </x:c>
      <x:c r="I125" s="40" t="str">
        <x:v>Not verified</x:v>
      </x:c>
      <x:c r="J125" s="40" t="str">
        <x:v>Missing</x:v>
      </x:c>
      <x:c r="K125" s="40" t="str">
        <x:v>Main</x:v>
      </x:c>
      <x:c r="L125" s="40" t="str">
        <x:v>Incomplete</x:v>
      </x:c>
      <x:c r="M125" s="40" t="str">
        <x:v>P2</x:v>
      </x:c>
      <x:c r="N125" s="41" t="n">
        <x:f>IF((7-COUNTIF(D125:J125,"N/A"))=0,0,(COUNTIF(D125:J125,"Complete")+0.5*COUNTIF(D125:J125,"Partial")+0.4*COUNTIF(D125:J125,"Open PR")+0.25*COUNTIF(D125:J125,"Not verified"))/(7-COUNTIF(D125:J125,"N/A")))</x:f>
        <x:v>0.5416666666666666</x:v>
      </x:c>
      <x:c r="O125" s="40" t="str">
        <x:v>Run production web build and browser/accessibility tests</x:v>
      </x:c>
      <x:c r="P125" s="40" t="str">
        <x:v>Production web build listed as remaining.</x:v>
      </x:c>
      <x:c r="Q125" s="40" t="str">
        <x:v>https://github.com/kmwstudy88-ship-it/SafeStepsApp/blob/main/docs/SAFESTEPS_FULL_SYSTEM_SUMMARY_2026-07-15.md</x:v>
      </x:c>
    </x:row>
    <x:row r="126">
      <x:c r="A126" s="36" t="str">
        <x:v>REL-008</x:v>
      </x:c>
      <x:c r="B126" s="40" t="str">
        <x:v>Release, QA &amp; Operations</x:v>
      </x:c>
      <x:c r="C126" s="40" t="str">
        <x:v>Crash/error monitoring and operational alerts</x:v>
      </x:c>
      <x:c r="D126" s="40" t="str">
        <x:v>Complete</x:v>
      </x:c>
      <x:c r="E126" s="40" t="str">
        <x:v>Partial</x:v>
      </x:c>
      <x:c r="F126" s="40" t="str">
        <x:v>Partial</x:v>
      </x:c>
      <x:c r="G126" s="40" t="str">
        <x:v>Partial</x:v>
      </x:c>
      <x:c r="H126" s="40" t="str">
        <x:v>Partial</x:v>
      </x:c>
      <x:c r="I126" s="40" t="str">
        <x:v>Not verified</x:v>
      </x:c>
      <x:c r="J126" s="40" t="str">
        <x:v>Missing</x:v>
      </x:c>
      <x:c r="K126" s="40" t="str">
        <x:v>Main</x:v>
      </x:c>
      <x:c r="L126" s="40" t="str">
        <x:v>Incomplete</x:v>
      </x:c>
      <x:c r="M126" s="40" t="str">
        <x:v>P2</x:v>
      </x:c>
      <x:c r="N126" s="41" t="n">
        <x:f>IF((7-COUNTIF(D126:J126,"N/A"))=0,0,(COUNTIF(D126:J126,"Complete")+0.5*COUNTIF(D126:J126,"Partial")+0.4*COUNTIF(D126:J126,"Open PR")+0.25*COUNTIF(D126:J126,"Not verified"))/(7-COUNTIF(D126:J126,"N/A")))</x:f>
        <x:v>0.4642857142857143</x:v>
      </x:c>
      <x:c r="O126" s="40" t="str">
        <x:v>Choose monitoring stack and add privacy-safe telemetry</x:v>
      </x:c>
      <x:c r="P126" s="40" t="str">
        <x:v>No verified release monitoring baseline found.</x:v>
      </x:c>
      <x:c r="Q126" s="40" t="str">
        <x:v>https://github.com/kmwstudy88-ship-it/SafeStepsApp/blob/main/docs/SAFESTEPS_FULL_SYSTEM_SUMMARY_2026-07-15.md</x:v>
      </x:c>
    </x:row>
    <x:row r="127">
      <x:c r="A127" s="36" t="str">
        <x:v>REL-009</x:v>
      </x:c>
      <x:c r="B127" s="40" t="str">
        <x:v>Release, QA &amp; Operations</x:v>
      </x:c>
      <x:c r="C127" s="40" t="str">
        <x:v>End-to-end multi-family / multi-service test</x:v>
      </x:c>
      <x:c r="D127" s="40" t="str">
        <x:v>Complete</x:v>
      </x:c>
      <x:c r="E127" s="40" t="str">
        <x:v>Partial</x:v>
      </x:c>
      <x:c r="F127" s="40" t="str">
        <x:v>Complete</x:v>
      </x:c>
      <x:c r="G127" s="40" t="str">
        <x:v>Partial</x:v>
      </x:c>
      <x:c r="H127" s="40" t="str">
        <x:v>Partial</x:v>
      </x:c>
      <x:c r="I127" s="40" t="str">
        <x:v>Not verified</x:v>
      </x:c>
      <x:c r="J127" s="40" t="str">
        <x:v>Missing</x:v>
      </x:c>
      <x:c r="K127" s="40" t="str">
        <x:v>Main</x:v>
      </x:c>
      <x:c r="L127" s="40" t="str">
        <x:v>Not yet proven</x:v>
      </x:c>
      <x:c r="M127" s="40" t="str">
        <x:v>P1</x:v>
      </x:c>
      <x:c r="N127" s="41" t="n">
        <x:f>IF((7-COUNTIF(D127:J127,"N/A"))=0,0,(COUNTIF(D127:J127,"Complete")+0.5*COUNTIF(D127:J127,"Partial")+0.4*COUNTIF(D127:J127,"Open PR")+0.25*COUNTIF(D127:J127,"Not verified"))/(7-COUNTIF(D127:J127,"N/A")))</x:f>
        <x:v>0.5357142857142857</x:v>
      </x:c>
      <x:c r="O127" s="40" t="str">
        <x:v>Test 3 tenants, 5 workers, 10 families with negative isolation cases</x:v>
      </x:c>
      <x:c r="P127" s="40" t="str">
        <x:v>Multi-tenant DB foundation exists but production E2E is not verified.</x:v>
      </x:c>
      <x:c r="Q127" s="40" t="str">
        <x:v>https://github.com/kmwstudy88-ship-it/SafeStepsApp/blob/main/supabase/migrations/20260721232009_white_label_multi_tenant_platform_volume23.sql</x:v>
      </x:c>
    </x:row>
    <x:row r="128">
      <x:c r="A128" s="36" t="str">
        <x:v>REL-010</x:v>
      </x:c>
      <x:c r="B128" s="40" t="str">
        <x:v>Release, QA &amp; Operations</x:v>
      </x:c>
      <x:c r="C128" s="40" t="str">
        <x:v>One-family complete V1 journey</x:v>
      </x:c>
      <x:c r="D128" s="40" t="str">
        <x:v>Complete</x:v>
      </x:c>
      <x:c r="E128" s="40" t="str">
        <x:v>Partial</x:v>
      </x:c>
      <x:c r="F128" s="40" t="str">
        <x:v>Complete</x:v>
      </x:c>
      <x:c r="G128" s="40" t="str">
        <x:v>Complete</x:v>
      </x:c>
      <x:c r="H128" s="40" t="str">
        <x:v>Partial</x:v>
      </x:c>
      <x:c r="I128" s="40" t="str">
        <x:v>Not verified</x:v>
      </x:c>
      <x:c r="J128" s="40" t="str">
        <x:v>Missing</x:v>
      </x:c>
      <x:c r="K128" s="40" t="str">
        <x:v>Main</x:v>
      </x:c>
      <x:c r="L128" s="40" t="str">
        <x:v>Not yet proven</x:v>
      </x:c>
      <x:c r="M128" s="40" t="str">
        <x:v>P1</x:v>
      </x:c>
      <x:c r="N128" s="41" t="n">
        <x:f>IF((7-COUNTIF(D128:J128,"N/A"))=0,0,(COUNTIF(D128:J128,"Complete")+0.5*COUNTIF(D128:J128,"Partial")+0.4*COUNTIF(D128:J128,"Open PR")+0.25*COUNTIF(D128:J128,"Not verified"))/(7-COUNTIF(D128:J128,"N/A")))</x:f>
        <x:v>0.6071428571428571</x:v>
      </x:c>
      <x:c r="O128" s="40" t="str">
        <x:v>Run fresh account through intake→program→lesson→evidence→worker→report</x:v>
      </x:c>
      <x:c r="P128" s="40" t="str">
        <x:v>This is the critical release proof; repo has parts but not one verified complete journey.</x:v>
      </x:c>
      <x:c r="Q128" s="40" t="str">
        <x:v>https://github.com/kmwstudy88-ship-it/SafeStepsApp/blob/main/docs/SAFESTEPS_FULL_SYSTEM_SUMMARY_2026-07-15.md</x:v>
      </x:c>
    </x:row>
    <x:row r="129">
      <x:c r="A129" s="36" t="str">
        <x:v>RES-001</x:v>
      </x:c>
      <x:c r="B129" s="40" t="str">
        <x:v>Research &amp; Outcomes</x:v>
      </x:c>
      <x:c r="C129" s="40" t="str">
        <x:v>De-identified analytics / cohort outcomes</x:v>
      </x:c>
      <x:c r="D129" s="40" t="str">
        <x:v>Complete</x:v>
      </x:c>
      <x:c r="E129" s="40" t="str">
        <x:v>Partial</x:v>
      </x:c>
      <x:c r="F129" s="40" t="str">
        <x:v>Partial</x:v>
      </x:c>
      <x:c r="G129" s="40" t="str">
        <x:v>Partial</x:v>
      </x:c>
      <x:c r="H129" s="40" t="str">
        <x:v>Partial</x:v>
      </x:c>
      <x:c r="I129" s="40" t="str">
        <x:v>Not verified</x:v>
      </x:c>
      <x:c r="J129" s="40" t="str">
        <x:v>Missing</x:v>
      </x:c>
      <x:c r="K129" s="40" t="str">
        <x:v>Main</x:v>
      </x:c>
      <x:c r="L129" s="40" t="str">
        <x:v>Early/partial</x:v>
      </x:c>
      <x:c r="M129" s="40" t="str">
        <x:v>P3</x:v>
      </x:c>
      <x:c r="N129" s="41" t="n">
        <x:f>IF((7-COUNTIF(D129:J129,"N/A"))=0,0,(COUNTIF(D129:J129,"Complete")+0.5*COUNTIF(D129:J129,"Partial")+0.4*COUNTIF(D129:J129,"Open PR")+0.25*COUNTIF(D129:J129,"Not verified"))/(7-COUNTIF(D129:J129,"N/A")))</x:f>
        <x:v>0.4642857142857143</x:v>
      </x:c>
      <x:c r="O129" s="40" t="str">
        <x:v>Defer until core V1; define governance and de-identification model</x:v>
      </x:c>
      <x:c r="P129" s="40" t="str">
        <x:v>Broader analytics exist as a platform goal; current production status not verified.</x:v>
      </x:c>
      <x:c r="Q129" s="40" t="str">
        <x:v>https://github.com/kmwstudy88-ship-it/SafeStepsApp/blob/main/docs/SAFESTEPS_FULL_SYSTEM_SUMMARY_2026-07-15.md</x:v>
      </x:c>
    </x:row>
    <x:row r="130">
      <x:c r="A130" s="36" t="str">
        <x:v>RES-002</x:v>
      </x:c>
      <x:c r="B130" s="40" t="str">
        <x:v>Research &amp; Outcomes</x:v>
      </x:c>
      <x:c r="C130" s="40" t="str">
        <x:v>Program effectiveness / longitudinal outcome studies</x:v>
      </x:c>
      <x:c r="D130" s="40" t="str">
        <x:v>Complete</x:v>
      </x:c>
      <x:c r="E130" s="40" t="str">
        <x:v>Partial</x:v>
      </x:c>
      <x:c r="F130" s="40" t="str">
        <x:v>Partial</x:v>
      </x:c>
      <x:c r="G130" s="40" t="str">
        <x:v>Partial</x:v>
      </x:c>
      <x:c r="H130" s="40" t="str">
        <x:v>Partial</x:v>
      </x:c>
      <x:c r="I130" s="40" t="str">
        <x:v>Not verified</x:v>
      </x:c>
      <x:c r="J130" s="40" t="str">
        <x:v>Missing</x:v>
      </x:c>
      <x:c r="K130" s="40" t="str">
        <x:v>Main</x:v>
      </x:c>
      <x:c r="L130" s="40" t="str">
        <x:v>Early/partial</x:v>
      </x:c>
      <x:c r="M130" s="40" t="str">
        <x:v>P3</x:v>
      </x:c>
      <x:c r="N130" s="41" t="n">
        <x:f>IF((7-COUNTIF(D130:J130,"N/A"))=0,0,(COUNTIF(D130:J130,"Complete")+0.5*COUNTIF(D130:J130,"Partial")+0.4*COUNTIF(D130:J130,"Open PR")+0.25*COUNTIF(D130:J130,"Not verified"))/(7-COUNTIF(D130:J130,"N/A")))</x:f>
        <x:v>0.4642857142857143</x:v>
      </x:c>
      <x:c r="O130" s="40" t="str">
        <x:v>Define outcome measures, consent, governance and research export layer</x:v>
      </x:c>
      <x:c r="P130" s="40" t="str">
        <x:v>Longitudinal reporting exists; formal research platform not verified.</x:v>
      </x:c>
      <x:c r="Q130" s="40" t="str">
        <x:v>https://github.com/kmwstudy88-ship-it/SafeStepsApp/blob/main/docs/SAFESTEPS_FULL_SYSTEM_SUMMARY_2026-07-15.md</x:v>
      </x:c>
    </x:row>
  </x:sheetData>
  <x:mergeCells>
    <x:mergeCell ref="A1:Q1"/>
    <x:mergeCell ref="A2:Q2"/>
    <x:mergeCell ref="A3:Q3"/>
  </x:mergeCells>
  <x:conditionalFormatting sqref="D6:D130">
    <x:cfRule type="expression" dxfId="0" priority="1">
      <x:formula>D6="Complete"</x:formula>
    </x:cfRule>
    <x:cfRule type="expression" dxfId="1" priority="2">
      <x:formula>D6="Partial"</x:formula>
    </x:cfRule>
    <x:cfRule type="expression" dxfId="2" priority="3">
      <x:formula>D6="Open PR"</x:formula>
    </x:cfRule>
    <x:cfRule type="expression" dxfId="3" priority="4">
      <x:formula>D6="Missing"</x:formula>
    </x:cfRule>
    <x:cfRule type="expression" dxfId="4" priority="5">
      <x:formula>D6="Not verified"</x:formula>
    </x:cfRule>
  </x:conditionalFormatting>
  <x:conditionalFormatting sqref="E6:E130">
    <x:cfRule type="expression" dxfId="5" priority="6">
      <x:formula>E6="Complete"</x:formula>
    </x:cfRule>
    <x:cfRule type="expression" dxfId="6" priority="7">
      <x:formula>E6="Partial"</x:formula>
    </x:cfRule>
    <x:cfRule type="expression" dxfId="7" priority="8">
      <x:formula>E6="Open PR"</x:formula>
    </x:cfRule>
    <x:cfRule type="expression" dxfId="8" priority="9">
      <x:formula>E6="Missing"</x:formula>
    </x:cfRule>
    <x:cfRule type="expression" dxfId="9" priority="10">
      <x:formula>E6="Not verified"</x:formula>
    </x:cfRule>
  </x:conditionalFormatting>
  <x:conditionalFormatting sqref="F6:F130">
    <x:cfRule type="expression" dxfId="10" priority="11">
      <x:formula>F6="Complete"</x:formula>
    </x:cfRule>
    <x:cfRule type="expression" dxfId="11" priority="12">
      <x:formula>F6="Partial"</x:formula>
    </x:cfRule>
    <x:cfRule type="expression" dxfId="12" priority="13">
      <x:formula>F6="Open PR"</x:formula>
    </x:cfRule>
    <x:cfRule type="expression" dxfId="13" priority="14">
      <x:formula>F6="Missing"</x:formula>
    </x:cfRule>
    <x:cfRule type="expression" dxfId="14" priority="15">
      <x:formula>F6="Not verified"</x:formula>
    </x:cfRule>
  </x:conditionalFormatting>
  <x:conditionalFormatting sqref="G6:G130">
    <x:cfRule type="expression" dxfId="15" priority="16">
      <x:formula>G6="Complete"</x:formula>
    </x:cfRule>
    <x:cfRule type="expression" dxfId="16" priority="17">
      <x:formula>G6="Partial"</x:formula>
    </x:cfRule>
    <x:cfRule type="expression" dxfId="17" priority="18">
      <x:formula>G6="Open PR"</x:formula>
    </x:cfRule>
    <x:cfRule type="expression" dxfId="18" priority="19">
      <x:formula>G6="Missing"</x:formula>
    </x:cfRule>
    <x:cfRule type="expression" dxfId="19" priority="20">
      <x:formula>G6="Not verified"</x:formula>
    </x:cfRule>
  </x:conditionalFormatting>
  <x:conditionalFormatting sqref="H6:H130">
    <x:cfRule type="expression" dxfId="20" priority="21">
      <x:formula>H6="Complete"</x:formula>
    </x:cfRule>
    <x:cfRule type="expression" dxfId="21" priority="22">
      <x:formula>H6="Partial"</x:formula>
    </x:cfRule>
    <x:cfRule type="expression" dxfId="22" priority="23">
      <x:formula>H6="Open PR"</x:formula>
    </x:cfRule>
    <x:cfRule type="expression" dxfId="23" priority="24">
      <x:formula>H6="Missing"</x:formula>
    </x:cfRule>
    <x:cfRule type="expression" dxfId="24" priority="25">
      <x:formula>H6="Not verified"</x:formula>
    </x:cfRule>
  </x:conditionalFormatting>
  <x:conditionalFormatting sqref="I6:I130">
    <x:cfRule type="expression" dxfId="25" priority="26">
      <x:formula>I6="Complete"</x:formula>
    </x:cfRule>
    <x:cfRule type="expression" dxfId="26" priority="27">
      <x:formula>I6="Partial"</x:formula>
    </x:cfRule>
    <x:cfRule type="expression" dxfId="27" priority="28">
      <x:formula>I6="Open PR"</x:formula>
    </x:cfRule>
    <x:cfRule type="expression" dxfId="28" priority="29">
      <x:formula>I6="Missing"</x:formula>
    </x:cfRule>
    <x:cfRule type="expression" dxfId="29" priority="30">
      <x:formula>I6="Not verified"</x:formula>
    </x:cfRule>
  </x:conditionalFormatting>
  <x:conditionalFormatting sqref="J6:J130">
    <x:cfRule type="expression" dxfId="30" priority="31">
      <x:formula>J6="Complete"</x:formula>
    </x:cfRule>
    <x:cfRule type="expression" dxfId="31" priority="32">
      <x:formula>J6="Partial"</x:formula>
    </x:cfRule>
    <x:cfRule type="expression" dxfId="32" priority="33">
      <x:formula>J6="Open PR"</x:formula>
    </x:cfRule>
    <x:cfRule type="expression" dxfId="33" priority="34">
      <x:formula>J6="Missing"</x:formula>
    </x:cfRule>
    <x:cfRule type="expression" dxfId="34" priority="35">
      <x:formula>J6="Not verified"</x:formula>
    </x:cfRule>
  </x:conditionalFormatting>
  <x:conditionalFormatting sqref="N6:N130">
    <x:cfRule type="colorScale" priority="3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6:M130">
    <x:cfRule type="expression" dxfId="35" priority="37">
      <x:formula>M6="P1"</x:formula>
    </x:cfRule>
    <x:cfRule type="expression" dxfId="36" priority="38">
      <x:formula>M6="P2"</x:formula>
    </x:cfRule>
    <x:cfRule type="expression" dxfId="37" priority="39">
      <x:formula>M6="P3"</x:formula>
    </x:cfRule>
  </x:conditionalFormatting>
  <x:dataValidations count="2">
    <x:dataValidation type="list" sqref="D6:J130">
      <x:formula1>"Complete,Partial,Open PR,Not verified,Missing,N/A"</x:formula1>
    </x:dataValidation>
    <x:dataValidation type="list" sqref="M6:M130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d2c1682d0544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34" hidden="0" customWidth="1"/>
    <x:col min="4" max="4" width="22" hidden="0" customWidth="1"/>
    <x:col min="5" max="5" width="35" hidden="0" customWidth="1"/>
    <x:col min="6" max="6" width="42" hidden="0" customWidth="1"/>
    <x:col min="7" max="7" width="48" hidden="0" customWidth="1"/>
    <x:col min="8" max="8" width="42" hidden="0" customWidth="1"/>
  </x:cols>
  <x:sheetData>
    <x:row r="1">
      <x:c r="A1" s="7" t="str">
        <x:v>OPEN / UNMERGED WORK THAT MUST NOT BE COUNTED AS RELEASED</x:v>
      </x:c>
      <x:c r="B1" s="7"/>
      <x:c r="C1" s="7"/>
      <x:c r="D1" s="7"/>
      <x:c r="E1" s="7"/>
      <x:c r="F1" s="7"/>
      <x:c r="G1" s="7"/>
      <x:c r="H1" s="7"/>
    </x:row>
    <x:row r="3">
      <x:c r="A3" s="28" t="str">
        <x:v>PR</x:v>
      </x:c>
      <x:c r="B3" s="28" t="str">
        <x:v>Title</x:v>
      </x:c>
      <x:c r="C3" s="28" t="str">
        <x:v>Branch</x:v>
      </x:c>
      <x:c r="D3" s="28" t="str">
        <x:v>State</x:v>
      </x:c>
      <x:c r="E3" s="28" t="str">
        <x:v>Main Impact</x:v>
      </x:c>
      <x:c r="F3" s="28" t="str">
        <x:v>Current Risk</x:v>
      </x:c>
      <x:c r="G3" s="28" t="str">
        <x:v>Required Next Action</x:v>
      </x:c>
      <x:c r="H3" s="28" t="str">
        <x:v>URL</x:v>
      </x:c>
    </x:row>
    <x:row r="4">
      <x:c r="A4" s="62" t="n">
        <x:v>10</x:v>
      </x:c>
      <x:c r="B4" s="62" t="str">
        <x:v>Add SafeSteps video system integration installer</x:v>
      </x:c>
      <x:c r="C4" s="62" t="str">
        <x:v>feature/video-system-integration</x:v>
      </x:c>
      <x:c r="D4" s="62" t="str">
        <x:v>Open draft</x:v>
      </x:c>
      <x:c r="E4" s="62" t="str">
        <x:v>Video-learning integration</x:v>
      </x:c>
      <x:c r="F4" s="62" t="str">
        <x:v>May duplicate/compete with newer lesson architecture</x:v>
      </x:c>
      <x:c r="G4" s="62" t="str">
        <x:v>Decide canonical video path; validate plan; merge only if still needed</x:v>
      </x:c>
      <x:c r="H4" s="62" t="str">
        <x:v>https://github.com/kmwstudy88-ship-it/SafeStepsApp/pull/10</x:v>
      </x:c>
    </x:row>
    <x:row r="5">
      <x:c r="A5" s="62" t="n">
        <x:v>11</x:v>
      </x:c>
      <x:c r="B5" s="62" t="str">
        <x:v>Add 15-screen production lesson player for Adolescence 99</x:v>
      </x:c>
      <x:c r="C5" s="62" t="str">
        <x:v>feature/adolescence-99-production-player</x:v>
      </x:c>
      <x:c r="D5" s="62" t="str">
        <x:v>Open draft</x:v>
      </x:c>
      <x:c r="E5" s="62" t="str">
        <x:v>Advanced lesson player, quizzes, activities, video scripts</x:v>
      </x:c>
      <x:c r="F5" s="62" t="str">
        <x:v>Advanced production lesson flow is not on main</x:v>
      </x:c>
      <x:c r="G5" s="62" t="str">
        <x:v>Resolve baseline/branch conflicts; run full tests; merge migration/content path</x:v>
      </x:c>
      <x:c r="H5" s="62" t="str">
        <x:v>https://github.com/kmwstudy88-ship-it/SafeStepsApp/pull/11</x:v>
      </x:c>
    </x:row>
    <x:row r="6">
      <x:c r="A6" s="62" t="n">
        <x:v>13</x:v>
      </x:c>
      <x:c r="B6" s="62" t="str">
        <x:v>Clean up canonical curriculum runtime and repair tests</x:v>
      </x:c>
      <x:c r="C6" s="62" t="str">
        <x:v>agent/safesteps-cleanup-repairs</x:v>
      </x:c>
      <x:c r="D6" s="62" t="str">
        <x:v>Open draft / not mergeable</x:v>
      </x:c>
      <x:c r="E6" s="62" t="str">
        <x:v>Canonical curriculum runtime cleanup</x:v>
      </x:c>
      <x:c r="F6" s="62" t="str">
        <x:v>Branch may now be stale relative to main</x:v>
      </x:c>
      <x:c r="G6" s="62" t="str">
        <x:v>Rebase or confirm fixes already landed elsewhere; avoid duplicate changes</x:v>
      </x:c>
      <x:c r="H6" s="62" t="str">
        <x:v>https://github.com/kmwstudy88-ship-it/SafeStepsApp/pull/13</x:v>
      </x:c>
    </x:row>
    <x:row r="7">
      <x:c r="A7" s="62" t="n">
        <x:v>18</x:v>
      </x:c>
      <x:c r="B7" s="62" t="str">
        <x:v>Add transparent parent program recommendation and confirmation</x:v>
      </x:c>
      <x:c r="C7" s="62" t="str">
        <x:v>agent/parent-program-recommendation</x:v>
      </x:c>
      <x:c r="D7" s="62" t="str">
        <x:v>Open draft</x:v>
      </x:c>
      <x:c r="E7" s="62" t="str">
        <x:v>Intake → program recommendation and confirmation</x:v>
      </x:c>
      <x:c r="F7" s="62" t="str">
        <x:v>Parent can lack final transparent recommendation gate on main</x:v>
      </x:c>
      <x:c r="G7" s="62" t="str">
        <x:v>Review migration/policy; run CI; merge when ready</x:v>
      </x:c>
      <x:c r="H7" s="62" t="str">
        <x:v>https://github.com/kmwstudy88-ship-it/SafeStepsApp/pull/18</x:v>
      </x:c>
    </x:row>
    <x:row r="8">
      <x:c r="A8" s="62" t="n">
        <x:v>19</x:v>
      </x:c>
      <x:c r="B8" s="62" t="str">
        <x:v>Connect SafeSteps backend auth sessions and document pipeline</x:v>
      </x:c>
      <x:c r="C8" s="62" t="str">
        <x:v>agent/final-backend-integration</x:v>
      </x:c>
      <x:c r="D8" s="62" t="str">
        <x:v>Open draft / mergeable</x:v>
      </x:c>
      <x:c r="E8" s="62" t="str">
        <x:v>Child/parent/caseworker API auth, uploads, durable analysis</x:v>
      </x:c>
      <x:c r="F8" s="62" t="str">
        <x:v>Critical backend integration exists but is not released</x:v>
      </x:c>
      <x:c r="G8" s="62" t="str">
        <x:v>Review 25 commits; apply migration; validate real roles; merge</x:v>
      </x:c>
      <x:c r="H8" s="62" t="str">
        <x:v>https://github.com/kmwstudy88-ship-it/SafeStepsApp/pull/19</x:v>
      </x:c>
    </x:row>
    <x:row r="9">
      <x:c r="A9" s="62" t="n">
        <x:v>20</x:v>
      </x:c>
      <x:c r="B9" s="62" t="str">
        <x:v>Apply security baseline for secret hygiene and environment management</x:v>
      </x:c>
      <x:c r="C9" s="62" t="str">
        <x:v>copilot/apply-secure-baseline</x:v>
      </x:c>
      <x:c r="D9" s="62" t="str">
        <x:v>Open / mergeable</x:v>
      </x:c>
      <x:c r="E9" s="62" t="str">
        <x:v>Secret scanning, env hygiene, security guidance</x:v>
      </x:c>
      <x:c r="F9" s="62" t="str">
        <x:v>Release branch lacks this additional secret baseline</x:v>
      </x:c>
      <x:c r="G9" s="62" t="str">
        <x:v>Review for false positives/compatibility; merge before production</x:v>
      </x:c>
      <x:c r="H9" s="62" t="str">
        <x:v>https://github.com/kmwstudy88-ship-it/SafeStepsApp/pull/20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20ceb18be2343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55" hidden="0" customWidth="1"/>
    <x:col min="4" max="4" width="50" hidden="0" customWidth="1"/>
    <x:col min="5" max="5" width="10" hidden="0" customWidth="1"/>
    <x:col min="6" max="6" width="16" hidden="0" customWidth="1"/>
    <x:col min="7" max="7" width="48" hidden="0" customWidth="1"/>
  </x:cols>
  <x:sheetData>
    <x:row r="1">
      <x:c r="A1" s="7" t="str">
        <x:v>RECOMMENDED SAFESTEPS BUILD ORDER — STOP ADDING FEATURES UNTIL THIS GATE PASSES</x:v>
      </x:c>
      <x:c r="B1" s="7"/>
      <x:c r="C1" s="7"/>
      <x:c r="D1" s="7"/>
      <x:c r="E1" s="7"/>
      <x:c r="F1" s="7"/>
      <x:c r="G1" s="7"/>
    </x:row>
    <x:row r="3">
      <x:c r="A3" s="28" t="str">
        <x:v>Stage</x:v>
      </x:c>
      <x:c r="B3" s="28" t="str">
        <x:v>Goal</x:v>
      </x:c>
      <x:c r="C3" s="28" t="str">
        <x:v>What to do</x:v>
      </x:c>
      <x:c r="D3" s="28" t="str">
        <x:v>Exit / Done Condition</x:v>
      </x:c>
      <x:c r="E3" s="28" t="str">
        <x:v>Priority</x:v>
      </x:c>
      <x:c r="F3" s="28" t="str">
        <x:v>Depends On</x:v>
      </x:c>
      <x:c r="G3" s="28" t="str">
        <x:v>Why it matters</x:v>
      </x:c>
    </x:row>
    <x:row r="4">
      <x:c r="A4" s="62" t="n">
        <x:v>1</x:v>
      </x:c>
      <x:c r="B4" s="62" t="str">
        <x:v>Stabilise main</x:v>
      </x:c>
      <x:c r="C4" s="62" t="str">
        <x:v>Resolve/rebase/merge or explicitly close PRs #10/#11/#13/#18/#19/#20; choose canonical curriculum/video/backend paths.</x:v>
      </x:c>
      <x:c r="D4" s="62" t="str">
        <x:v>One trustworthy main branch; no feature exists only in forgotten branches.</x:v>
      </x:c>
      <x:c r="E4" s="62" t="str">
        <x:v>P1</x:v>
      </x:c>
      <x:c r="F4" s="62" t="str">
        <x:v>—</x:v>
      </x:c>
      <x:c r="G4" s="62" t="str">
        <x:v>Prevents duplicate/conflicting systems.</x:v>
      </x:c>
    </x:row>
    <x:row r="5">
      <x:c r="A5" s="62" t="n">
        <x:v>2</x:v>
      </x:c>
      <x:c r="B5" s="62" t="str">
        <x:v>Verify database</x:v>
      </x:c>
      <x:c r="C5" s="62" t="str">
        <x:v>Compare all repo migrations with linked Supabase; apply pending migrations in order; run advisors/RLS checks.</x:v>
      </x:c>
      <x:c r="D5" s="62" t="str">
        <x:v>Migration history matches repo and required tables/policies exist.</x:v>
      </x:c>
      <x:c r="E5" s="62" t="str">
        <x:v>P1</x:v>
      </x:c>
      <x:c r="F5" s="62" t="str">
        <x:v>1</x:v>
      </x:c>
      <x:c r="G5" s="62" t="str">
        <x:v>A file in GitHub is not a deployed database.</x:v>
      </x:c>
    </x:row>
    <x:row r="6">
      <x:c r="A6" s="62" t="n">
        <x:v>3</x:v>
      </x:c>
      <x:c r="B6" s="62" t="str">
        <x:v>Prove parent V1</x:v>
      </x:c>
      <x:c r="C6" s="62" t="str">
        <x:v>Fresh parent account through verification, consent, intake, case, program recommendation/enrolment.</x:v>
      </x:c>
      <x:c r="D6" s="62" t="str">
        <x:v>A new parent can reach an active program without manual DB intervention.</x:v>
      </x:c>
      <x:c r="E6" s="62" t="str">
        <x:v>P1</x:v>
      </x:c>
      <x:c r="F6" s="62" t="str">
        <x:v>1–2</x:v>
      </x:c>
      <x:c r="G6" s="62" t="str">
        <x:v>Establishes a real usable front door.</x:v>
      </x:c>
    </x:row>
    <x:row r="7">
      <x:c r="A7" s="62" t="n">
        <x:v>4</x:v>
      </x:c>
      <x:c r="B7" s="62" t="str">
        <x:v>Prove learning V1</x:v>
      </x:c>
      <x:c r="C7" s="62" t="str">
        <x:v>Run one full lesson through all required gates, activity/quiz/reflections and save progress.</x:v>
      </x:c>
      <x:c r="D7" s="62" t="str">
        <x:v>Completion persists, locks/gates behave, dashboard updates.</x:v>
      </x:c>
      <x:c r="E7" s="62" t="str">
        <x:v>P1</x:v>
      </x:c>
      <x:c r="F7" s="62" t="str">
        <x:v>3</x:v>
      </x:c>
      <x:c r="G7" s="62" t="str">
        <x:v>Turns content into a working learning system.</x:v>
      </x:c>
    </x:row>
    <x:row r="8">
      <x:c r="A8" s="62" t="n">
        <x:v>5</x:v>
      </x:c>
      <x:c r="B8" s="62" t="str">
        <x:v>Prove evidence V1</x:v>
      </x:c>
      <x:c r="C8" s="62" t="str">
        <x:v>Upload daily evidence/document, offline queue/sync, worker review and source linkage.</x:v>
      </x:c>
      <x:c r="D8" s="62" t="str">
        <x:v>Evidence survives restart/sync and appears only to authorised case members.</x:v>
      </x:c>
      <x:c r="E8" s="62" t="str">
        <x:v>P1</x:v>
      </x:c>
      <x:c r="F8" s="62" t="str">
        <x:v>2–3</x:v>
      </x:c>
      <x:c r="G8" s="62" t="str">
        <x:v>Evidence is central to SafeSteps' proof-of-change model.</x:v>
      </x:c>
    </x:row>
    <x:row r="9">
      <x:c r="A9" s="62" t="n">
        <x:v>6</x:v>
      </x:c>
      <x:c r="B9" s="62" t="str">
        <x:v>Prove worker V1</x:v>
      </x:c>
      <x:c r="C9" s="62" t="str">
        <x:v>Worker logs in, selects assigned family, reviews intake, assessments, evidence, visits, referrals, notes.</x:v>
      </x:c>
      <x:c r="D9" s="62" t="str">
        <x:v>Worker can manage multiple assigned families without cross-case leakage.</x:v>
      </x:c>
      <x:c r="E9" s="62" t="str">
        <x:v>P1</x:v>
      </x:c>
      <x:c r="F9" s="62" t="str">
        <x:v>2–5</x:v>
      </x:c>
      <x:c r="G9" s="62" t="str">
        <x:v>Caseworker workflow is required for service use.</x:v>
      </x:c>
    </x:row>
    <x:row r="10">
      <x:c r="A10" s="62" t="n">
        <x:v>7</x:v>
      </x:c>
      <x:c r="B10" s="62" t="str">
        <x:v>Prove child V1</x:v>
      </x:c>
      <x:c r="C10" s="62" t="str">
        <x:v>Child-specific login, private dashboard/check-in/requests/messages/sharing rules.</x:v>
      </x:c>
      <x:c r="D10" s="62" t="str">
        <x:v>Child can use the app with correct private/default sharing and safeguarding rules.</x:v>
      </x:c>
      <x:c r="E10" s="62" t="str">
        <x:v>P1</x:v>
      </x:c>
      <x:c r="F10" s="62" t="str">
        <x:v>1–2</x:v>
      </x:c>
      <x:c r="G10" s="62" t="str">
        <x:v>Child voice/privacy is a core platform requirement.</x:v>
      </x:c>
    </x:row>
    <x:row r="11">
      <x:c r="A11" s="62" t="n">
        <x:v>8</x:v>
      </x:c>
      <x:c r="B11" s="62" t="str">
        <x:v>Prove multi-tenant</x:v>
      </x:c>
      <x:c r="C11" s="62" t="str">
        <x:v>Create ≥3 test tenants, ≥5 workers, ≥10 families; test tenant/org/case isolation and revoked access.</x:v>
      </x:c>
      <x:c r="D11" s="62" t="str">
        <x:v>Automated + manual negative tests show no cross-tenant/cross-case leakage.</x:v>
      </x:c>
      <x:c r="E11" s="62" t="str">
        <x:v>P1</x:v>
      </x:c>
      <x:c r="F11" s="62" t="str">
        <x:v>2,6</x:v>
      </x:c>
      <x:c r="G11" s="62" t="str">
        <x:v>Required before multiple services can safely use the platform.</x:v>
      </x:c>
    </x:row>
    <x:row r="12">
      <x:c r="A12" s="62" t="n">
        <x:v>9</x:v>
      </x:c>
      <x:c r="B12" s="62" t="str">
        <x:v>Finish reports/governance</x:v>
      </x:c>
      <x:c r="C12" s="62" t="str">
        <x:v>Live longitudinal report, reviewer approval, immutable history, source traceability, export rules.</x:v>
      </x:c>
      <x:c r="D12" s="62" t="str">
        <x:v>No court-facing report can be finalised without authorised review/sign-off.</x:v>
      </x:c>
      <x:c r="E12" s="62" t="str">
        <x:v>P1</x:v>
      </x:c>
      <x:c r="F12" s="62" t="str">
        <x:v>4–8</x:v>
      </x:c>
      <x:c r="G12" s="62" t="str">
        <x:v>Prevents unreviewed automated outputs being treated as professional conclusions.</x:v>
      </x:c>
    </x:row>
    <x:row r="13">
      <x:c r="A13" s="62" t="n">
        <x:v>10</x:v>
      </x:c>
      <x:c r="B13" s="62" t="str">
        <x:v>Production release gate</x:v>
      </x:c>
      <x:c r="C13" s="62" t="str">
        <x:v>Privacy/retention/delete, safeguarding, accessibility, monitoring, Android/iOS/web builds and device QA.</x:v>
      </x:c>
      <x:c r="D13" s="62" t="str">
        <x:v>Signed release checklist passes on production-like environment.</x:v>
      </x:c>
      <x:c r="E13" s="62" t="str">
        <x:v>P1</x:v>
      </x:c>
      <x:c r="F13" s="62" t="str">
        <x:v>1–9</x:v>
      </x:c>
      <x:c r="G13" s="62" t="str">
        <x:v>Only then claim production readiness.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ad13cbc28e24d7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6" hidden="0" customWidth="1"/>
    <x:col min="4" max="4" width="20" hidden="0" customWidth="1"/>
    <x:col min="5" max="5" width="55" hidden="0" customWidth="1"/>
  </x:cols>
  <x:sheetData>
    <x:row r="1">
      <x:c r="A1" s="7" t="str">
        <x:v>HOW TO READ THIS TRACKER</x:v>
      </x:c>
      <x:c r="B1" s="7"/>
      <x:c r="C1" s="7"/>
      <x:c r="D1" s="7"/>
      <x:c r="E1" s="7"/>
    </x:row>
    <x:row r="3">
      <x:c r="A3" s="27" t="str">
        <x:v>Tracker value</x:v>
      </x:c>
      <x:c r="B3" s="27" t="str">
        <x:v>Meaning</x:v>
      </x:c>
      <x:c r="C3" s="27" t="str">
        <x:v>Readiness score</x:v>
      </x:c>
      <x:c r="D3" s="27" t="str">
        <x:v>Count as released?</x:v>
      </x:c>
      <x:c r="E3" s="27" t="str">
        <x:v>Use</x:v>
      </x:c>
    </x:row>
    <x:row r="4">
      <x:c r="A4" s="62" t="str">
        <x:v>Complete</x:v>
      </x:c>
      <x:c r="B4" s="62" t="str">
        <x:v>Evidence indicates this stage is substantially implemented.</x:v>
      </x:c>
      <x:c r="C4" s="63" t="n">
        <x:v>1</x:v>
      </x:c>
      <x:c r="D4" s="62" t="str">
        <x:v>Only if on Main</x:v>
      </x:c>
      <x:c r="E4" s="62" t="str">
        <x:v>Still does not automatically mean public-production-ready.</x:v>
      </x:c>
    </x:row>
    <x:row r="5">
      <x:c r="A5" s="62" t="str">
        <x:v>Partial</x:v>
      </x:c>
      <x:c r="B5" s="62" t="str">
        <x:v>Some real implementation exists but workflow/completeness is unfinished.</x:v>
      </x:c>
      <x:c r="C5" s="63" t="n">
        <x:v>0.5</x:v>
      </x:c>
      <x:c r="D5" s="62" t="str">
        <x:v>Maybe</x:v>
      </x:c>
      <x:c r="E5" s="62" t="str">
        <x:v>Needs a defined next action.</x:v>
      </x:c>
    </x:row>
    <x:row r="6">
      <x:c r="A6" s="62" t="str">
        <x:v>Open PR</x:v>
      </x:c>
      <x:c r="B6" s="62" t="str">
        <x:v>Code exists in an open branch/PR but is not in current main.</x:v>
      </x:c>
      <x:c r="C6" s="63" t="n">
        <x:v>0.4</x:v>
      </x:c>
      <x:c r="D6" s="62" t="str">
        <x:v>No</x:v>
      </x:c>
      <x:c r="E6" s="62" t="str">
        <x:v>Treat as unfinished until merged and deployed.</x:v>
      </x:c>
    </x:row>
    <x:row r="7">
      <x:c r="A7" s="62" t="str">
        <x:v>Not verified</x:v>
      </x:c>
      <x:c r="B7" s="62" t="str">
        <x:v>Likely exists or is described, but current end-to-end evidence was not found.</x:v>
      </x:c>
      <x:c r="C7" s="63" t="n">
        <x:v>0.25</x:v>
      </x:c>
      <x:c r="D7" s="62" t="str">
        <x:v>No</x:v>
      </x:c>
      <x:c r="E7" s="62" t="str">
        <x:v>Must be tested/confirmed.</x:v>
      </x:c>
    </x:row>
    <x:row r="8">
      <x:c r="A8" s="62" t="str">
        <x:v>Missing</x:v>
      </x:c>
      <x:c r="B8" s="62" t="str">
        <x:v>No usable implementation confirmed for this stage.</x:v>
      </x:c>
      <x:c r="C8" s="63" t="n">
        <x:v>0</x:v>
      </x:c>
      <x:c r="D8" s="62" t="str">
        <x:v>No</x:v>
      </x:c>
      <x:c r="E8" s="62" t="str">
        <x:v>Build required.</x:v>
      </x:c>
    </x:row>
    <x:row r="9">
      <x:c r="A9" s="62" t="str">
        <x:v>N/A</x:v>
      </x:c>
      <x:c r="B9" s="62" t="str">
        <x:v>Stage does not apply to this feature.</x:v>
      </x:c>
      <x:c r="C9" s="62"/>
      <x:c r="D9" s="62" t="str">
        <x:v>N/A</x:v>
      </x:c>
      <x:c r="E9" s="62" t="str">
        <x:v>Excluded from readiness denominator.</x:v>
      </x:c>
    </x:row>
    <x:row r="12">
      <x:c r="A12" s="27" t="str">
        <x:v>Priority</x:v>
      </x:c>
      <x:c r="B12" s="27" t="str">
        <x:v>Definition</x:v>
      </x:c>
      <x:c r="C12" s="27" t="str"/>
      <x:c r="D12" s="27" t="str"/>
      <x:c r="E12" s="27" t="str"/>
    </x:row>
    <x:row r="13">
      <x:c r="A13" s="62" t="str">
        <x:v>P1</x:v>
      </x:c>
      <x:c r="B13" s="62" t="str">
        <x:v>Blocks safe end-to-end V1, security, deployment or trustworthy service use.</x:v>
      </x:c>
    </x:row>
    <x:row r="14">
      <x:c r="A14" s="62" t="str">
        <x:v>P2</x:v>
      </x:c>
      <x:c r="B14" s="62" t="str">
        <x:v>Important for a strong product but can follow the core V1 proof.</x:v>
      </x:c>
    </x:row>
    <x:row r="15">
      <x:c r="A15" s="62" t="str">
        <x:v>P3</x:v>
      </x:c>
      <x:c r="B15" s="62" t="str">
        <x:v>Expansion/scale feature; defer until the core platform is stable.</x:v>
      </x:c>
    </x:row>
  </x:sheetData>
  <x:mergeCells>
    <x:mergeCell ref="A1:E1"/>
  </x:mergeCells>
  <x:pageMargins left="0.7" right="0.7" top="0.75" bottom="0.75" header="0.3" footer="0.3"/>
</x:worksheet>
</file>